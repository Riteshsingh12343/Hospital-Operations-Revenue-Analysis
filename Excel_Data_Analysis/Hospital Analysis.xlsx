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E3EF4632-8333-455F-B561-59CD478405F3}" xr6:coauthVersionLast="47" xr6:coauthVersionMax="47" xr10:uidLastSave="{00000000-0000-0000-0000-000000000000}"/>
  <bookViews>
    <workbookView xWindow="0" yWindow="0" windowWidth="20490" windowHeight="11520" activeTab="6" xr2:uid="{00000000-000D-0000-FFFF-FFFF00000000}"/>
  </bookViews>
  <sheets>
    <sheet name="Doctor" sheetId="3" r:id="rId1"/>
    <sheet name="Patient" sheetId="2" r:id="rId2"/>
    <sheet name="Appointment" sheetId="4" r:id="rId3"/>
    <sheet name="Treatment" sheetId="1" r:id="rId4"/>
    <sheet name="Belling" sheetId="5" r:id="rId5"/>
    <sheet name="Analysis" sheetId="8" r:id="rId6"/>
    <sheet name="Questions" sheetId="7" r:id="rId7"/>
  </sheets>
  <calcPr calcId="191029"/>
  <pivotCaches>
    <pivotCache cacheId="16" r:id="rId8"/>
    <pivotCache cacheId="2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N35" i="8"/>
  <c r="O36" i="8"/>
  <c r="L2" i="2"/>
  <c r="L3" i="2"/>
  <c r="P83" i="5" s="1"/>
  <c r="L4" i="2"/>
  <c r="P71" i="5" s="1"/>
  <c r="L5" i="2"/>
  <c r="L6" i="2"/>
  <c r="P11" i="5" s="1"/>
  <c r="L7" i="2"/>
  <c r="L8" i="2"/>
  <c r="L9" i="2"/>
  <c r="L10" i="2"/>
  <c r="L11" i="2"/>
  <c r="P46" i="5" s="1"/>
  <c r="L12" i="2"/>
  <c r="L13" i="2"/>
  <c r="L14" i="2"/>
  <c r="P79" i="5" s="1"/>
  <c r="L15" i="2"/>
  <c r="P148" i="5" s="1"/>
  <c r="L16" i="2"/>
  <c r="L17" i="2"/>
  <c r="L18" i="2"/>
  <c r="P87" i="5" s="1"/>
  <c r="L19" i="2"/>
  <c r="P115" i="5" s="1"/>
  <c r="L20" i="2"/>
  <c r="P47" i="5" s="1"/>
  <c r="L21" i="2"/>
  <c r="L22" i="2"/>
  <c r="L23" i="2"/>
  <c r="P19" i="5" s="1"/>
  <c r="L24" i="2"/>
  <c r="P159" i="5" s="1"/>
  <c r="L25" i="2"/>
  <c r="L26" i="2"/>
  <c r="P103" i="5" s="1"/>
  <c r="L27" i="2"/>
  <c r="P31" i="5" s="1"/>
  <c r="L28" i="2"/>
  <c r="L29" i="2"/>
  <c r="L30" i="2"/>
  <c r="P191" i="5" s="1"/>
  <c r="L31" i="2"/>
  <c r="P26" i="5" s="1"/>
  <c r="L32" i="2"/>
  <c r="L33" i="2"/>
  <c r="L34" i="2"/>
  <c r="P67" i="5" s="1"/>
  <c r="L35" i="2"/>
  <c r="P2" i="5" s="1"/>
  <c r="L36" i="2"/>
  <c r="L37" i="2"/>
  <c r="L38" i="2"/>
  <c r="P18" i="5" s="1"/>
  <c r="L39" i="2"/>
  <c r="P180" i="5" s="1"/>
  <c r="L40" i="2"/>
  <c r="P35" i="5" s="1"/>
  <c r="L41" i="2"/>
  <c r="L42" i="2"/>
  <c r="P95" i="5" s="1"/>
  <c r="L43" i="2"/>
  <c r="P163" i="5" s="1"/>
  <c r="L44" i="2"/>
  <c r="P171" i="5" s="1"/>
  <c r="L45" i="2"/>
  <c r="L46" i="2"/>
  <c r="P7" i="5" s="1"/>
  <c r="L47" i="2"/>
  <c r="P82" i="5" s="1"/>
  <c r="L48" i="2"/>
  <c r="P151" i="5" s="1"/>
  <c r="L49" i="2"/>
  <c r="L50" i="2"/>
  <c r="P111" i="5" s="1"/>
  <c r="L51" i="2"/>
  <c r="P98" i="5" s="1"/>
  <c r="P3" i="5"/>
  <c r="P4" i="5"/>
  <c r="P5" i="5"/>
  <c r="P6" i="5"/>
  <c r="P8" i="5"/>
  <c r="P9" i="5"/>
  <c r="P10" i="5"/>
  <c r="P13" i="5"/>
  <c r="P14" i="5"/>
  <c r="P15" i="5"/>
  <c r="P17" i="5"/>
  <c r="P20" i="5"/>
  <c r="P21" i="5"/>
  <c r="P22" i="5"/>
  <c r="P24" i="5"/>
  <c r="P25" i="5"/>
  <c r="P28" i="5"/>
  <c r="P29" i="5"/>
  <c r="P30" i="5"/>
  <c r="P33" i="5"/>
  <c r="P34" i="5"/>
  <c r="P36" i="5"/>
  <c r="P37" i="5"/>
  <c r="P40" i="5"/>
  <c r="P41" i="5"/>
  <c r="P42" i="5"/>
  <c r="P43" i="5"/>
  <c r="P45" i="5"/>
  <c r="P48" i="5"/>
  <c r="P49" i="5"/>
  <c r="P50" i="5"/>
  <c r="P52" i="5"/>
  <c r="P53" i="5"/>
  <c r="P54" i="5"/>
  <c r="P55" i="5"/>
  <c r="P57" i="5"/>
  <c r="P58" i="5"/>
  <c r="P59" i="5"/>
  <c r="P60" i="5"/>
  <c r="P61" i="5"/>
  <c r="P62" i="5"/>
  <c r="P63" i="5"/>
  <c r="P65" i="5"/>
  <c r="P66" i="5"/>
  <c r="P68" i="5"/>
  <c r="P69" i="5"/>
  <c r="P70" i="5"/>
  <c r="P72" i="5"/>
  <c r="P73" i="5"/>
  <c r="P74" i="5"/>
  <c r="P76" i="5"/>
  <c r="P77" i="5"/>
  <c r="P78" i="5"/>
  <c r="P80" i="5"/>
  <c r="P81" i="5"/>
  <c r="P85" i="5"/>
  <c r="P86" i="5"/>
  <c r="P89" i="5"/>
  <c r="P90" i="5"/>
  <c r="P93" i="5"/>
  <c r="P96" i="5"/>
  <c r="P97" i="5"/>
  <c r="P100" i="5"/>
  <c r="P101" i="5"/>
  <c r="P102" i="5"/>
  <c r="P104" i="5"/>
  <c r="P105" i="5"/>
  <c r="P108" i="5"/>
  <c r="P109" i="5"/>
  <c r="P110" i="5"/>
  <c r="P112" i="5"/>
  <c r="P113" i="5"/>
  <c r="P114" i="5"/>
  <c r="P116" i="5"/>
  <c r="P117" i="5"/>
  <c r="P118" i="5"/>
  <c r="P119" i="5"/>
  <c r="P120" i="5"/>
  <c r="P121" i="5"/>
  <c r="P122" i="5"/>
  <c r="P123" i="5"/>
  <c r="P124" i="5"/>
  <c r="P125" i="5"/>
  <c r="P126" i="5"/>
  <c r="P128" i="5"/>
  <c r="P129" i="5"/>
  <c r="P132" i="5"/>
  <c r="P133" i="5"/>
  <c r="P134" i="5"/>
  <c r="P137" i="5"/>
  <c r="P138" i="5"/>
  <c r="P140" i="5"/>
  <c r="P141" i="5"/>
  <c r="P142" i="5"/>
  <c r="P144" i="5"/>
  <c r="P145" i="5"/>
  <c r="P146" i="5"/>
  <c r="P147" i="5"/>
  <c r="P149" i="5"/>
  <c r="P150" i="5"/>
  <c r="P152" i="5"/>
  <c r="P153" i="5"/>
  <c r="P154" i="5"/>
  <c r="P155" i="5"/>
  <c r="P156" i="5"/>
  <c r="P157" i="5"/>
  <c r="P158" i="5"/>
  <c r="P160" i="5"/>
  <c r="P161" i="5"/>
  <c r="P162" i="5"/>
  <c r="P164" i="5"/>
  <c r="P165" i="5"/>
  <c r="P166" i="5"/>
  <c r="P168" i="5"/>
  <c r="P169" i="5"/>
  <c r="P170" i="5"/>
  <c r="P172" i="5"/>
  <c r="P173" i="5"/>
  <c r="P174" i="5"/>
  <c r="P175" i="5"/>
  <c r="P176" i="5"/>
  <c r="P177" i="5"/>
  <c r="P178" i="5"/>
  <c r="P181" i="5"/>
  <c r="P184" i="5"/>
  <c r="P185" i="5"/>
  <c r="P186" i="5"/>
  <c r="P188" i="5"/>
  <c r="P189" i="5"/>
  <c r="P190" i="5"/>
  <c r="P192" i="5"/>
  <c r="P193" i="5"/>
  <c r="P194" i="5"/>
  <c r="P195" i="5"/>
  <c r="P196" i="5"/>
  <c r="P197" i="5"/>
  <c r="P198" i="5"/>
  <c r="P200" i="5"/>
  <c r="P201" i="5"/>
  <c r="C13" i="8"/>
  <c r="P136" i="5" l="1"/>
  <c r="P92" i="5"/>
  <c r="P88" i="5"/>
  <c r="P84" i="5"/>
  <c r="P64" i="5"/>
  <c r="P56" i="5"/>
  <c r="P44" i="5"/>
  <c r="P32" i="5"/>
  <c r="P16" i="5"/>
  <c r="P12" i="5"/>
  <c r="P199" i="5"/>
  <c r="P187" i="5"/>
  <c r="P183" i="5"/>
  <c r="P179" i="5"/>
  <c r="P167" i="5"/>
  <c r="P143" i="5"/>
  <c r="P139" i="5"/>
  <c r="P135" i="5"/>
  <c r="P131" i="5"/>
  <c r="P127" i="5"/>
  <c r="P107" i="5"/>
  <c r="P99" i="5"/>
  <c r="P91" i="5"/>
  <c r="P75" i="5"/>
  <c r="P51" i="5"/>
  <c r="P39" i="5"/>
  <c r="P27" i="5"/>
  <c r="P23" i="5"/>
  <c r="P182" i="5"/>
  <c r="P130" i="5"/>
  <c r="P106" i="5"/>
  <c r="P94" i="5"/>
  <c r="P38" i="5"/>
  <c r="M18" i="8"/>
  <c r="E10" i="8"/>
  <c r="C3" i="8"/>
  <c r="C2" i="8"/>
  <c r="D2" i="5" l="1"/>
  <c r="G2" i="5" s="1"/>
  <c r="O2" i="5" s="1"/>
  <c r="D3" i="5"/>
  <c r="G3" i="5" s="1"/>
  <c r="O3" i="5" s="1"/>
  <c r="D4" i="5"/>
  <c r="G4" i="5" s="1"/>
  <c r="O4" i="5" s="1"/>
  <c r="D5" i="5"/>
  <c r="G5" i="5" s="1"/>
  <c r="O5" i="5" s="1"/>
  <c r="D6" i="5"/>
  <c r="G6" i="5" s="1"/>
  <c r="O6" i="5" s="1"/>
  <c r="D7" i="5"/>
  <c r="G7" i="5" s="1"/>
  <c r="O7" i="5" s="1"/>
  <c r="D8" i="5"/>
  <c r="G8" i="5" s="1"/>
  <c r="O8" i="5" s="1"/>
  <c r="D9" i="5"/>
  <c r="G9" i="5" s="1"/>
  <c r="O9" i="5" s="1"/>
  <c r="D10" i="5"/>
  <c r="G10" i="5" s="1"/>
  <c r="O10" i="5" s="1"/>
  <c r="D11" i="5"/>
  <c r="G11" i="5" s="1"/>
  <c r="O11" i="5" s="1"/>
  <c r="D12" i="5"/>
  <c r="G12" i="5" s="1"/>
  <c r="O12" i="5" s="1"/>
  <c r="D13" i="5"/>
  <c r="G13" i="5" s="1"/>
  <c r="O13" i="5" s="1"/>
  <c r="D14" i="5"/>
  <c r="G14" i="5" s="1"/>
  <c r="O14" i="5" s="1"/>
  <c r="D15" i="5"/>
  <c r="G15" i="5" s="1"/>
  <c r="O15" i="5" s="1"/>
  <c r="D16" i="5"/>
  <c r="G16" i="5" s="1"/>
  <c r="O16" i="5" s="1"/>
  <c r="D17" i="5"/>
  <c r="G17" i="5" s="1"/>
  <c r="O17" i="5" s="1"/>
  <c r="D18" i="5"/>
  <c r="G18" i="5" s="1"/>
  <c r="O18" i="5" s="1"/>
  <c r="D19" i="5"/>
  <c r="G19" i="5" s="1"/>
  <c r="O19" i="5" s="1"/>
  <c r="D20" i="5"/>
  <c r="G20" i="5" s="1"/>
  <c r="O20" i="5" s="1"/>
  <c r="D21" i="5"/>
  <c r="G21" i="5" s="1"/>
  <c r="O21" i="5" s="1"/>
  <c r="D22" i="5"/>
  <c r="G22" i="5" s="1"/>
  <c r="O22" i="5" s="1"/>
  <c r="D23" i="5"/>
  <c r="G23" i="5" s="1"/>
  <c r="O23" i="5" s="1"/>
  <c r="D24" i="5"/>
  <c r="G24" i="5" s="1"/>
  <c r="O24" i="5" s="1"/>
  <c r="D25" i="5"/>
  <c r="G25" i="5" s="1"/>
  <c r="O25" i="5" s="1"/>
  <c r="D26" i="5"/>
  <c r="G26" i="5" s="1"/>
  <c r="O26" i="5" s="1"/>
  <c r="D27" i="5"/>
  <c r="G27" i="5" s="1"/>
  <c r="O27" i="5" s="1"/>
  <c r="D28" i="5"/>
  <c r="G28" i="5" s="1"/>
  <c r="O28" i="5" s="1"/>
  <c r="D29" i="5"/>
  <c r="G29" i="5" s="1"/>
  <c r="O29" i="5" s="1"/>
  <c r="D30" i="5"/>
  <c r="G30" i="5" s="1"/>
  <c r="O30" i="5" s="1"/>
  <c r="D31" i="5"/>
  <c r="G31" i="5" s="1"/>
  <c r="O31" i="5" s="1"/>
  <c r="D32" i="5"/>
  <c r="G32" i="5" s="1"/>
  <c r="O32" i="5" s="1"/>
  <c r="D33" i="5"/>
  <c r="G33" i="5" s="1"/>
  <c r="O33" i="5" s="1"/>
  <c r="D34" i="5"/>
  <c r="G34" i="5" s="1"/>
  <c r="O34" i="5" s="1"/>
  <c r="D35" i="5"/>
  <c r="G35" i="5" s="1"/>
  <c r="O35" i="5" s="1"/>
  <c r="D36" i="5"/>
  <c r="G36" i="5" s="1"/>
  <c r="O36" i="5" s="1"/>
  <c r="D37" i="5"/>
  <c r="G37" i="5" s="1"/>
  <c r="O37" i="5" s="1"/>
  <c r="D38" i="5"/>
  <c r="G38" i="5" s="1"/>
  <c r="O38" i="5" s="1"/>
  <c r="D39" i="5"/>
  <c r="G39" i="5" s="1"/>
  <c r="O39" i="5" s="1"/>
  <c r="D40" i="5"/>
  <c r="G40" i="5" s="1"/>
  <c r="O40" i="5" s="1"/>
  <c r="D41" i="5"/>
  <c r="G41" i="5" s="1"/>
  <c r="O41" i="5" s="1"/>
  <c r="D42" i="5"/>
  <c r="G42" i="5" s="1"/>
  <c r="O42" i="5" s="1"/>
  <c r="D43" i="5"/>
  <c r="G43" i="5" s="1"/>
  <c r="O43" i="5" s="1"/>
  <c r="D44" i="5"/>
  <c r="G44" i="5" s="1"/>
  <c r="O44" i="5" s="1"/>
  <c r="D45" i="5"/>
  <c r="G45" i="5" s="1"/>
  <c r="O45" i="5" s="1"/>
  <c r="D46" i="5"/>
  <c r="G46" i="5" s="1"/>
  <c r="O46" i="5" s="1"/>
  <c r="D47" i="5"/>
  <c r="G47" i="5" s="1"/>
  <c r="O47" i="5" s="1"/>
  <c r="D48" i="5"/>
  <c r="G48" i="5" s="1"/>
  <c r="O48" i="5" s="1"/>
  <c r="D49" i="5"/>
  <c r="G49" i="5" s="1"/>
  <c r="O49" i="5" s="1"/>
  <c r="D50" i="5"/>
  <c r="G50" i="5" s="1"/>
  <c r="O50" i="5" s="1"/>
  <c r="D51" i="5"/>
  <c r="G51" i="5" s="1"/>
  <c r="O51" i="5" s="1"/>
  <c r="D52" i="5"/>
  <c r="G52" i="5" s="1"/>
  <c r="O52" i="5" s="1"/>
  <c r="D53" i="5"/>
  <c r="G53" i="5" s="1"/>
  <c r="O53" i="5" s="1"/>
  <c r="D54" i="5"/>
  <c r="G54" i="5" s="1"/>
  <c r="O54" i="5" s="1"/>
  <c r="D55" i="5"/>
  <c r="G55" i="5" s="1"/>
  <c r="O55" i="5" s="1"/>
  <c r="D56" i="5"/>
  <c r="G56" i="5" s="1"/>
  <c r="O56" i="5" s="1"/>
  <c r="D57" i="5"/>
  <c r="G57" i="5" s="1"/>
  <c r="O57" i="5" s="1"/>
  <c r="D58" i="5"/>
  <c r="G58" i="5" s="1"/>
  <c r="O58" i="5" s="1"/>
  <c r="D59" i="5"/>
  <c r="G59" i="5" s="1"/>
  <c r="O59" i="5" s="1"/>
  <c r="D60" i="5"/>
  <c r="G60" i="5" s="1"/>
  <c r="O60" i="5" s="1"/>
  <c r="D61" i="5"/>
  <c r="G61" i="5" s="1"/>
  <c r="O61" i="5" s="1"/>
  <c r="D62" i="5"/>
  <c r="G62" i="5" s="1"/>
  <c r="O62" i="5" s="1"/>
  <c r="D63" i="5"/>
  <c r="G63" i="5" s="1"/>
  <c r="O63" i="5" s="1"/>
  <c r="D64" i="5"/>
  <c r="G64" i="5" s="1"/>
  <c r="O64" i="5" s="1"/>
  <c r="D65" i="5"/>
  <c r="G65" i="5" s="1"/>
  <c r="O65" i="5" s="1"/>
  <c r="D66" i="5"/>
  <c r="G66" i="5" s="1"/>
  <c r="O66" i="5" s="1"/>
  <c r="D67" i="5"/>
  <c r="G67" i="5" s="1"/>
  <c r="O67" i="5" s="1"/>
  <c r="D68" i="5"/>
  <c r="G68" i="5" s="1"/>
  <c r="O68" i="5" s="1"/>
  <c r="D69" i="5"/>
  <c r="G69" i="5" s="1"/>
  <c r="O69" i="5" s="1"/>
  <c r="D70" i="5"/>
  <c r="G70" i="5" s="1"/>
  <c r="O70" i="5" s="1"/>
  <c r="D71" i="5"/>
  <c r="G71" i="5" s="1"/>
  <c r="O71" i="5" s="1"/>
  <c r="D72" i="5"/>
  <c r="G72" i="5" s="1"/>
  <c r="O72" i="5" s="1"/>
  <c r="D73" i="5"/>
  <c r="G73" i="5" s="1"/>
  <c r="O73" i="5" s="1"/>
  <c r="D74" i="5"/>
  <c r="G74" i="5" s="1"/>
  <c r="O74" i="5" s="1"/>
  <c r="D75" i="5"/>
  <c r="G75" i="5" s="1"/>
  <c r="O75" i="5" s="1"/>
  <c r="D76" i="5"/>
  <c r="G76" i="5" s="1"/>
  <c r="O76" i="5" s="1"/>
  <c r="D77" i="5"/>
  <c r="G77" i="5" s="1"/>
  <c r="O77" i="5" s="1"/>
  <c r="D78" i="5"/>
  <c r="G78" i="5" s="1"/>
  <c r="O78" i="5" s="1"/>
  <c r="D79" i="5"/>
  <c r="G79" i="5" s="1"/>
  <c r="O79" i="5" s="1"/>
  <c r="D80" i="5"/>
  <c r="G80" i="5" s="1"/>
  <c r="O80" i="5" s="1"/>
  <c r="D81" i="5"/>
  <c r="G81" i="5" s="1"/>
  <c r="O81" i="5" s="1"/>
  <c r="D82" i="5"/>
  <c r="G82" i="5" s="1"/>
  <c r="O82" i="5" s="1"/>
  <c r="D83" i="5"/>
  <c r="G83" i="5" s="1"/>
  <c r="O83" i="5" s="1"/>
  <c r="D84" i="5"/>
  <c r="G84" i="5" s="1"/>
  <c r="O84" i="5" s="1"/>
  <c r="D85" i="5"/>
  <c r="G85" i="5" s="1"/>
  <c r="O85" i="5" s="1"/>
  <c r="D86" i="5"/>
  <c r="G86" i="5" s="1"/>
  <c r="O86" i="5" s="1"/>
  <c r="D87" i="5"/>
  <c r="G87" i="5" s="1"/>
  <c r="O87" i="5" s="1"/>
  <c r="D88" i="5"/>
  <c r="G88" i="5" s="1"/>
  <c r="O88" i="5" s="1"/>
  <c r="D89" i="5"/>
  <c r="G89" i="5" s="1"/>
  <c r="O89" i="5" s="1"/>
  <c r="D90" i="5"/>
  <c r="G90" i="5" s="1"/>
  <c r="O90" i="5" s="1"/>
  <c r="D91" i="5"/>
  <c r="G91" i="5" s="1"/>
  <c r="O91" i="5" s="1"/>
  <c r="D92" i="5"/>
  <c r="G92" i="5" s="1"/>
  <c r="O92" i="5" s="1"/>
  <c r="D93" i="5"/>
  <c r="G93" i="5" s="1"/>
  <c r="O93" i="5" s="1"/>
  <c r="D94" i="5"/>
  <c r="G94" i="5" s="1"/>
  <c r="O94" i="5" s="1"/>
  <c r="D95" i="5"/>
  <c r="G95" i="5" s="1"/>
  <c r="O95" i="5" s="1"/>
  <c r="D96" i="5"/>
  <c r="G96" i="5" s="1"/>
  <c r="O96" i="5" s="1"/>
  <c r="D97" i="5"/>
  <c r="G97" i="5" s="1"/>
  <c r="O97" i="5" s="1"/>
  <c r="D98" i="5"/>
  <c r="G98" i="5" s="1"/>
  <c r="O98" i="5" s="1"/>
  <c r="D99" i="5"/>
  <c r="G99" i="5" s="1"/>
  <c r="O99" i="5" s="1"/>
  <c r="D100" i="5"/>
  <c r="G100" i="5" s="1"/>
  <c r="O100" i="5" s="1"/>
  <c r="D101" i="5"/>
  <c r="G101" i="5" s="1"/>
  <c r="O101" i="5" s="1"/>
  <c r="D102" i="5"/>
  <c r="G102" i="5" s="1"/>
  <c r="O102" i="5" s="1"/>
  <c r="D103" i="5"/>
  <c r="G103" i="5" s="1"/>
  <c r="O103" i="5" s="1"/>
  <c r="D104" i="5"/>
  <c r="G104" i="5" s="1"/>
  <c r="O104" i="5" s="1"/>
  <c r="D105" i="5"/>
  <c r="G105" i="5" s="1"/>
  <c r="O105" i="5" s="1"/>
  <c r="D106" i="5"/>
  <c r="G106" i="5" s="1"/>
  <c r="O106" i="5" s="1"/>
  <c r="D107" i="5"/>
  <c r="G107" i="5" s="1"/>
  <c r="O107" i="5" s="1"/>
  <c r="D108" i="5"/>
  <c r="G108" i="5" s="1"/>
  <c r="O108" i="5" s="1"/>
  <c r="D109" i="5"/>
  <c r="G109" i="5" s="1"/>
  <c r="O109" i="5" s="1"/>
  <c r="D110" i="5"/>
  <c r="G110" i="5" s="1"/>
  <c r="O110" i="5" s="1"/>
  <c r="D111" i="5"/>
  <c r="G111" i="5" s="1"/>
  <c r="O111" i="5" s="1"/>
  <c r="D112" i="5"/>
  <c r="G112" i="5" s="1"/>
  <c r="O112" i="5" s="1"/>
  <c r="D113" i="5"/>
  <c r="G113" i="5" s="1"/>
  <c r="O113" i="5" s="1"/>
  <c r="D114" i="5"/>
  <c r="G114" i="5" s="1"/>
  <c r="O114" i="5" s="1"/>
  <c r="D115" i="5"/>
  <c r="G115" i="5" s="1"/>
  <c r="O115" i="5" s="1"/>
  <c r="D116" i="5"/>
  <c r="G116" i="5" s="1"/>
  <c r="O116" i="5" s="1"/>
  <c r="D117" i="5"/>
  <c r="G117" i="5" s="1"/>
  <c r="O117" i="5" s="1"/>
  <c r="D118" i="5"/>
  <c r="G118" i="5" s="1"/>
  <c r="O118" i="5" s="1"/>
  <c r="D119" i="5"/>
  <c r="G119" i="5" s="1"/>
  <c r="O119" i="5" s="1"/>
  <c r="D120" i="5"/>
  <c r="G120" i="5" s="1"/>
  <c r="O120" i="5" s="1"/>
  <c r="D121" i="5"/>
  <c r="G121" i="5" s="1"/>
  <c r="O121" i="5" s="1"/>
  <c r="D122" i="5"/>
  <c r="G122" i="5" s="1"/>
  <c r="O122" i="5" s="1"/>
  <c r="D123" i="5"/>
  <c r="G123" i="5" s="1"/>
  <c r="O123" i="5" s="1"/>
  <c r="D124" i="5"/>
  <c r="G124" i="5" s="1"/>
  <c r="O124" i="5" s="1"/>
  <c r="D125" i="5"/>
  <c r="G125" i="5" s="1"/>
  <c r="O125" i="5" s="1"/>
  <c r="D126" i="5"/>
  <c r="G126" i="5" s="1"/>
  <c r="O126" i="5" s="1"/>
  <c r="D127" i="5"/>
  <c r="G127" i="5" s="1"/>
  <c r="O127" i="5" s="1"/>
  <c r="D128" i="5"/>
  <c r="G128" i="5" s="1"/>
  <c r="O128" i="5" s="1"/>
  <c r="D129" i="5"/>
  <c r="G129" i="5" s="1"/>
  <c r="O129" i="5" s="1"/>
  <c r="D130" i="5"/>
  <c r="G130" i="5" s="1"/>
  <c r="O130" i="5" s="1"/>
  <c r="D131" i="5"/>
  <c r="G131" i="5" s="1"/>
  <c r="O131" i="5" s="1"/>
  <c r="D132" i="5"/>
  <c r="G132" i="5" s="1"/>
  <c r="O132" i="5" s="1"/>
  <c r="D133" i="5"/>
  <c r="G133" i="5" s="1"/>
  <c r="O133" i="5" s="1"/>
  <c r="D134" i="5"/>
  <c r="G134" i="5" s="1"/>
  <c r="O134" i="5" s="1"/>
  <c r="D135" i="5"/>
  <c r="G135" i="5" s="1"/>
  <c r="O135" i="5" s="1"/>
  <c r="D136" i="5"/>
  <c r="G136" i="5" s="1"/>
  <c r="O136" i="5" s="1"/>
  <c r="D137" i="5"/>
  <c r="G137" i="5" s="1"/>
  <c r="O137" i="5" s="1"/>
  <c r="D138" i="5"/>
  <c r="G138" i="5" s="1"/>
  <c r="O138" i="5" s="1"/>
  <c r="D139" i="5"/>
  <c r="G139" i="5" s="1"/>
  <c r="O139" i="5" s="1"/>
  <c r="D140" i="5"/>
  <c r="G140" i="5" s="1"/>
  <c r="O140" i="5" s="1"/>
  <c r="D141" i="5"/>
  <c r="G141" i="5" s="1"/>
  <c r="O141" i="5" s="1"/>
  <c r="D142" i="5"/>
  <c r="G142" i="5" s="1"/>
  <c r="O142" i="5" s="1"/>
  <c r="D143" i="5"/>
  <c r="G143" i="5" s="1"/>
  <c r="O143" i="5" s="1"/>
  <c r="D144" i="5"/>
  <c r="G144" i="5" s="1"/>
  <c r="O144" i="5" s="1"/>
  <c r="D145" i="5"/>
  <c r="G145" i="5" s="1"/>
  <c r="O145" i="5" s="1"/>
  <c r="D146" i="5"/>
  <c r="G146" i="5" s="1"/>
  <c r="O146" i="5" s="1"/>
  <c r="D147" i="5"/>
  <c r="G147" i="5" s="1"/>
  <c r="O147" i="5" s="1"/>
  <c r="D148" i="5"/>
  <c r="G148" i="5" s="1"/>
  <c r="O148" i="5" s="1"/>
  <c r="D149" i="5"/>
  <c r="G149" i="5" s="1"/>
  <c r="O149" i="5" s="1"/>
  <c r="D150" i="5"/>
  <c r="G150" i="5" s="1"/>
  <c r="O150" i="5" s="1"/>
  <c r="D151" i="5"/>
  <c r="G151" i="5" s="1"/>
  <c r="O151" i="5" s="1"/>
  <c r="D152" i="5"/>
  <c r="G152" i="5" s="1"/>
  <c r="O152" i="5" s="1"/>
  <c r="D153" i="5"/>
  <c r="G153" i="5" s="1"/>
  <c r="O153" i="5" s="1"/>
  <c r="D154" i="5"/>
  <c r="G154" i="5" s="1"/>
  <c r="O154" i="5" s="1"/>
  <c r="D155" i="5"/>
  <c r="G155" i="5" s="1"/>
  <c r="O155" i="5" s="1"/>
  <c r="D156" i="5"/>
  <c r="G156" i="5" s="1"/>
  <c r="O156" i="5" s="1"/>
  <c r="D157" i="5"/>
  <c r="G157" i="5" s="1"/>
  <c r="O157" i="5" s="1"/>
  <c r="D158" i="5"/>
  <c r="G158" i="5" s="1"/>
  <c r="O158" i="5" s="1"/>
  <c r="D159" i="5"/>
  <c r="G159" i="5" s="1"/>
  <c r="O159" i="5" s="1"/>
  <c r="D160" i="5"/>
  <c r="G160" i="5" s="1"/>
  <c r="O160" i="5" s="1"/>
  <c r="D161" i="5"/>
  <c r="G161" i="5" s="1"/>
  <c r="O161" i="5" s="1"/>
  <c r="D162" i="5"/>
  <c r="G162" i="5" s="1"/>
  <c r="O162" i="5" s="1"/>
  <c r="D163" i="5"/>
  <c r="G163" i="5" s="1"/>
  <c r="O163" i="5" s="1"/>
  <c r="D164" i="5"/>
  <c r="G164" i="5" s="1"/>
  <c r="O164" i="5" s="1"/>
  <c r="D165" i="5"/>
  <c r="G165" i="5" s="1"/>
  <c r="O165" i="5" s="1"/>
  <c r="D166" i="5"/>
  <c r="G166" i="5" s="1"/>
  <c r="O166" i="5" s="1"/>
  <c r="D167" i="5"/>
  <c r="G167" i="5" s="1"/>
  <c r="O167" i="5" s="1"/>
  <c r="D168" i="5"/>
  <c r="G168" i="5" s="1"/>
  <c r="O168" i="5" s="1"/>
  <c r="D169" i="5"/>
  <c r="G169" i="5" s="1"/>
  <c r="O169" i="5" s="1"/>
  <c r="D170" i="5"/>
  <c r="G170" i="5" s="1"/>
  <c r="O170" i="5" s="1"/>
  <c r="D171" i="5"/>
  <c r="G171" i="5" s="1"/>
  <c r="O171" i="5" s="1"/>
  <c r="D172" i="5"/>
  <c r="G172" i="5" s="1"/>
  <c r="O172" i="5" s="1"/>
  <c r="D173" i="5"/>
  <c r="G173" i="5" s="1"/>
  <c r="O173" i="5" s="1"/>
  <c r="D174" i="5"/>
  <c r="G174" i="5" s="1"/>
  <c r="O174" i="5" s="1"/>
  <c r="D175" i="5"/>
  <c r="G175" i="5" s="1"/>
  <c r="O175" i="5" s="1"/>
  <c r="D176" i="5"/>
  <c r="G176" i="5" s="1"/>
  <c r="O176" i="5" s="1"/>
  <c r="D177" i="5"/>
  <c r="G177" i="5" s="1"/>
  <c r="O177" i="5" s="1"/>
  <c r="D178" i="5"/>
  <c r="G178" i="5" s="1"/>
  <c r="O178" i="5" s="1"/>
  <c r="D179" i="5"/>
  <c r="G179" i="5" s="1"/>
  <c r="O179" i="5" s="1"/>
  <c r="D180" i="5"/>
  <c r="G180" i="5" s="1"/>
  <c r="O180" i="5" s="1"/>
  <c r="D181" i="5"/>
  <c r="G181" i="5" s="1"/>
  <c r="O181" i="5" s="1"/>
  <c r="D182" i="5"/>
  <c r="G182" i="5" s="1"/>
  <c r="O182" i="5" s="1"/>
  <c r="D183" i="5"/>
  <c r="G183" i="5" s="1"/>
  <c r="O183" i="5" s="1"/>
  <c r="D184" i="5"/>
  <c r="G184" i="5" s="1"/>
  <c r="O184" i="5" s="1"/>
  <c r="D185" i="5"/>
  <c r="G185" i="5" s="1"/>
  <c r="O185" i="5" s="1"/>
  <c r="D186" i="5"/>
  <c r="G186" i="5" s="1"/>
  <c r="O186" i="5" s="1"/>
  <c r="D187" i="5"/>
  <c r="G187" i="5" s="1"/>
  <c r="O187" i="5" s="1"/>
  <c r="D188" i="5"/>
  <c r="G188" i="5" s="1"/>
  <c r="O188" i="5" s="1"/>
  <c r="D189" i="5"/>
  <c r="G189" i="5" s="1"/>
  <c r="O189" i="5" s="1"/>
  <c r="D190" i="5"/>
  <c r="G190" i="5" s="1"/>
  <c r="O190" i="5" s="1"/>
  <c r="D191" i="5"/>
  <c r="G191" i="5" s="1"/>
  <c r="O191" i="5" s="1"/>
  <c r="D192" i="5"/>
  <c r="G192" i="5" s="1"/>
  <c r="O192" i="5" s="1"/>
  <c r="D193" i="5"/>
  <c r="G193" i="5" s="1"/>
  <c r="O193" i="5" s="1"/>
  <c r="D194" i="5"/>
  <c r="G194" i="5" s="1"/>
  <c r="O194" i="5" s="1"/>
  <c r="D195" i="5"/>
  <c r="G195" i="5" s="1"/>
  <c r="O195" i="5" s="1"/>
  <c r="D196" i="5"/>
  <c r="G196" i="5" s="1"/>
  <c r="O196" i="5" s="1"/>
  <c r="D197" i="5"/>
  <c r="G197" i="5" s="1"/>
  <c r="O197" i="5" s="1"/>
  <c r="D198" i="5"/>
  <c r="G198" i="5" s="1"/>
  <c r="O198" i="5" s="1"/>
  <c r="D199" i="5"/>
  <c r="G199" i="5" s="1"/>
  <c r="O199" i="5" s="1"/>
  <c r="D200" i="5"/>
  <c r="G200" i="5" s="1"/>
  <c r="O200" i="5" s="1"/>
  <c r="D201" i="5"/>
  <c r="G201" i="5" s="1"/>
  <c r="O201" i="5" s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L3" i="3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" i="5"/>
  <c r="F193" i="5" l="1"/>
  <c r="N193" i="5"/>
  <c r="F185" i="5"/>
  <c r="N185" i="5"/>
  <c r="F173" i="5"/>
  <c r="N173" i="5"/>
  <c r="F161" i="5"/>
  <c r="N161" i="5"/>
  <c r="F153" i="5"/>
  <c r="N153" i="5"/>
  <c r="F141" i="5"/>
  <c r="N141" i="5"/>
  <c r="F129" i="5"/>
  <c r="N129" i="5"/>
  <c r="F121" i="5"/>
  <c r="N121" i="5"/>
  <c r="F109" i="5"/>
  <c r="N109" i="5"/>
  <c r="F105" i="5"/>
  <c r="N105" i="5"/>
  <c r="F101" i="5"/>
  <c r="N101" i="5"/>
  <c r="F97" i="5"/>
  <c r="N97" i="5"/>
  <c r="F93" i="5"/>
  <c r="N93" i="5"/>
  <c r="F89" i="5"/>
  <c r="N89" i="5"/>
  <c r="F85" i="5"/>
  <c r="N85" i="5"/>
  <c r="F81" i="5"/>
  <c r="N81" i="5"/>
  <c r="F77" i="5"/>
  <c r="N77" i="5"/>
  <c r="F73" i="5"/>
  <c r="N73" i="5"/>
  <c r="F69" i="5"/>
  <c r="N69" i="5"/>
  <c r="F65" i="5"/>
  <c r="N65" i="5"/>
  <c r="F61" i="5"/>
  <c r="N61" i="5"/>
  <c r="F57" i="5"/>
  <c r="N57" i="5"/>
  <c r="F53" i="5"/>
  <c r="N53" i="5"/>
  <c r="F49" i="5"/>
  <c r="N49" i="5"/>
  <c r="F45" i="5"/>
  <c r="N45" i="5"/>
  <c r="F41" i="5"/>
  <c r="N41" i="5"/>
  <c r="F37" i="5"/>
  <c r="N37" i="5"/>
  <c r="F33" i="5"/>
  <c r="N33" i="5"/>
  <c r="F29" i="5"/>
  <c r="N29" i="5"/>
  <c r="F25" i="5"/>
  <c r="N25" i="5"/>
  <c r="F21" i="5"/>
  <c r="N21" i="5"/>
  <c r="F17" i="5"/>
  <c r="N17" i="5"/>
  <c r="F13" i="5"/>
  <c r="N13" i="5"/>
  <c r="F9" i="5"/>
  <c r="N9" i="5"/>
  <c r="F5" i="5"/>
  <c r="N5" i="5"/>
  <c r="F200" i="5"/>
  <c r="N200" i="5"/>
  <c r="F196" i="5"/>
  <c r="N196" i="5"/>
  <c r="F192" i="5"/>
  <c r="N192" i="5"/>
  <c r="F188" i="5"/>
  <c r="N188" i="5"/>
  <c r="F184" i="5"/>
  <c r="N184" i="5"/>
  <c r="F180" i="5"/>
  <c r="N180" i="5"/>
  <c r="F176" i="5"/>
  <c r="N176" i="5"/>
  <c r="F172" i="5"/>
  <c r="N172" i="5"/>
  <c r="F168" i="5"/>
  <c r="N168" i="5"/>
  <c r="F164" i="5"/>
  <c r="N164" i="5"/>
  <c r="F160" i="5"/>
  <c r="N160" i="5"/>
  <c r="F156" i="5"/>
  <c r="N156" i="5"/>
  <c r="F152" i="5"/>
  <c r="N152" i="5"/>
  <c r="F148" i="5"/>
  <c r="N148" i="5"/>
  <c r="F144" i="5"/>
  <c r="N144" i="5"/>
  <c r="F140" i="5"/>
  <c r="N140" i="5"/>
  <c r="F136" i="5"/>
  <c r="N136" i="5"/>
  <c r="F132" i="5"/>
  <c r="N132" i="5"/>
  <c r="F128" i="5"/>
  <c r="N128" i="5"/>
  <c r="F124" i="5"/>
  <c r="N124" i="5"/>
  <c r="F120" i="5"/>
  <c r="N120" i="5"/>
  <c r="F116" i="5"/>
  <c r="N116" i="5"/>
  <c r="F112" i="5"/>
  <c r="N112" i="5"/>
  <c r="F108" i="5"/>
  <c r="N108" i="5"/>
  <c r="F104" i="5"/>
  <c r="N104" i="5"/>
  <c r="F100" i="5"/>
  <c r="N100" i="5"/>
  <c r="F96" i="5"/>
  <c r="N96" i="5"/>
  <c r="F92" i="5"/>
  <c r="N92" i="5"/>
  <c r="F88" i="5"/>
  <c r="N88" i="5"/>
  <c r="F84" i="5"/>
  <c r="N84" i="5"/>
  <c r="F80" i="5"/>
  <c r="N80" i="5"/>
  <c r="F76" i="5"/>
  <c r="N76" i="5"/>
  <c r="F72" i="5"/>
  <c r="N72" i="5"/>
  <c r="F68" i="5"/>
  <c r="N68" i="5"/>
  <c r="F64" i="5"/>
  <c r="N64" i="5"/>
  <c r="F60" i="5"/>
  <c r="N60" i="5"/>
  <c r="F56" i="5"/>
  <c r="N56" i="5"/>
  <c r="F52" i="5"/>
  <c r="N52" i="5"/>
  <c r="F48" i="5"/>
  <c r="N48" i="5"/>
  <c r="F44" i="5"/>
  <c r="N44" i="5"/>
  <c r="F40" i="5"/>
  <c r="N40" i="5"/>
  <c r="F36" i="5"/>
  <c r="N36" i="5"/>
  <c r="F32" i="5"/>
  <c r="N32" i="5"/>
  <c r="F28" i="5"/>
  <c r="N28" i="5"/>
  <c r="F24" i="5"/>
  <c r="N24" i="5"/>
  <c r="F20" i="5"/>
  <c r="N20" i="5"/>
  <c r="F16" i="5"/>
  <c r="N16" i="5"/>
  <c r="F12" i="5"/>
  <c r="N12" i="5"/>
  <c r="F8" i="5"/>
  <c r="N8" i="5"/>
  <c r="F4" i="5"/>
  <c r="N4" i="5"/>
  <c r="F197" i="5"/>
  <c r="N197" i="5"/>
  <c r="F181" i="5"/>
  <c r="N181" i="5"/>
  <c r="F165" i="5"/>
  <c r="N165" i="5"/>
  <c r="F149" i="5"/>
  <c r="N149" i="5"/>
  <c r="F137" i="5"/>
  <c r="N137" i="5"/>
  <c r="F117" i="5"/>
  <c r="N117" i="5"/>
  <c r="F199" i="5"/>
  <c r="N199" i="5"/>
  <c r="F195" i="5"/>
  <c r="N195" i="5"/>
  <c r="F191" i="5"/>
  <c r="N191" i="5"/>
  <c r="F187" i="5"/>
  <c r="N187" i="5"/>
  <c r="F183" i="5"/>
  <c r="N183" i="5"/>
  <c r="F179" i="5"/>
  <c r="N179" i="5"/>
  <c r="F175" i="5"/>
  <c r="N175" i="5"/>
  <c r="F171" i="5"/>
  <c r="N171" i="5"/>
  <c r="F167" i="5"/>
  <c r="N167" i="5"/>
  <c r="F163" i="5"/>
  <c r="N163" i="5"/>
  <c r="F159" i="5"/>
  <c r="N159" i="5"/>
  <c r="F155" i="5"/>
  <c r="N155" i="5"/>
  <c r="F151" i="5"/>
  <c r="N151" i="5"/>
  <c r="F147" i="5"/>
  <c r="N147" i="5"/>
  <c r="F143" i="5"/>
  <c r="N143" i="5"/>
  <c r="F139" i="5"/>
  <c r="N139" i="5"/>
  <c r="F135" i="5"/>
  <c r="N135" i="5"/>
  <c r="F131" i="5"/>
  <c r="N131" i="5"/>
  <c r="F127" i="5"/>
  <c r="N127" i="5"/>
  <c r="F123" i="5"/>
  <c r="N123" i="5"/>
  <c r="F119" i="5"/>
  <c r="N119" i="5"/>
  <c r="F115" i="5"/>
  <c r="N115" i="5"/>
  <c r="F111" i="5"/>
  <c r="N111" i="5"/>
  <c r="F107" i="5"/>
  <c r="N107" i="5"/>
  <c r="F103" i="5"/>
  <c r="N103" i="5"/>
  <c r="F99" i="5"/>
  <c r="N99" i="5"/>
  <c r="F95" i="5"/>
  <c r="N95" i="5"/>
  <c r="F91" i="5"/>
  <c r="N91" i="5"/>
  <c r="F87" i="5"/>
  <c r="N87" i="5"/>
  <c r="F83" i="5"/>
  <c r="N83" i="5"/>
  <c r="F79" i="5"/>
  <c r="N79" i="5"/>
  <c r="F75" i="5"/>
  <c r="N75" i="5"/>
  <c r="F71" i="5"/>
  <c r="N71" i="5"/>
  <c r="F67" i="5"/>
  <c r="N67" i="5"/>
  <c r="F63" i="5"/>
  <c r="N63" i="5"/>
  <c r="F59" i="5"/>
  <c r="N59" i="5"/>
  <c r="F55" i="5"/>
  <c r="N55" i="5"/>
  <c r="F51" i="5"/>
  <c r="N51" i="5"/>
  <c r="F47" i="5"/>
  <c r="N47" i="5"/>
  <c r="F43" i="5"/>
  <c r="N43" i="5"/>
  <c r="F39" i="5"/>
  <c r="N39" i="5"/>
  <c r="F35" i="5"/>
  <c r="N35" i="5"/>
  <c r="F31" i="5"/>
  <c r="N31" i="5"/>
  <c r="F27" i="5"/>
  <c r="N27" i="5"/>
  <c r="F23" i="5"/>
  <c r="N23" i="5"/>
  <c r="F19" i="5"/>
  <c r="N19" i="5"/>
  <c r="F15" i="5"/>
  <c r="N15" i="5"/>
  <c r="F11" i="5"/>
  <c r="N11" i="5"/>
  <c r="F7" i="5"/>
  <c r="N7" i="5"/>
  <c r="F3" i="5"/>
  <c r="N3" i="5"/>
  <c r="F201" i="5"/>
  <c r="N201" i="5"/>
  <c r="F189" i="5"/>
  <c r="N189" i="5"/>
  <c r="F177" i="5"/>
  <c r="N177" i="5"/>
  <c r="F169" i="5"/>
  <c r="N169" i="5"/>
  <c r="F157" i="5"/>
  <c r="N157" i="5"/>
  <c r="F145" i="5"/>
  <c r="N145" i="5"/>
  <c r="F133" i="5"/>
  <c r="N133" i="5"/>
  <c r="F125" i="5"/>
  <c r="N125" i="5"/>
  <c r="F113" i="5"/>
  <c r="N113" i="5"/>
  <c r="N198" i="5"/>
  <c r="F198" i="5"/>
  <c r="F194" i="5"/>
  <c r="N194" i="5"/>
  <c r="N190" i="5"/>
  <c r="F190" i="5"/>
  <c r="N186" i="5"/>
  <c r="F186" i="5"/>
  <c r="N182" i="5"/>
  <c r="F182" i="5"/>
  <c r="F178" i="5"/>
  <c r="N178" i="5"/>
  <c r="N174" i="5"/>
  <c r="F174" i="5"/>
  <c r="N170" i="5"/>
  <c r="F170" i="5"/>
  <c r="N166" i="5"/>
  <c r="F166" i="5"/>
  <c r="F162" i="5"/>
  <c r="N162" i="5"/>
  <c r="N158" i="5"/>
  <c r="F158" i="5"/>
  <c r="N154" i="5"/>
  <c r="F154" i="5"/>
  <c r="N150" i="5"/>
  <c r="F150" i="5"/>
  <c r="F146" i="5"/>
  <c r="N146" i="5"/>
  <c r="N142" i="5"/>
  <c r="F142" i="5"/>
  <c r="F138" i="5"/>
  <c r="N138" i="5"/>
  <c r="N134" i="5"/>
  <c r="F134" i="5"/>
  <c r="F130" i="5"/>
  <c r="N130" i="5"/>
  <c r="F126" i="5"/>
  <c r="N126" i="5"/>
  <c r="N122" i="5"/>
  <c r="F122" i="5"/>
  <c r="N118" i="5"/>
  <c r="F118" i="5"/>
  <c r="F114" i="5"/>
  <c r="N114" i="5"/>
  <c r="N110" i="5"/>
  <c r="F110" i="5"/>
  <c r="N106" i="5"/>
  <c r="F106" i="5"/>
  <c r="N102" i="5"/>
  <c r="F102" i="5"/>
  <c r="F98" i="5"/>
  <c r="N98" i="5"/>
  <c r="F94" i="5"/>
  <c r="N94" i="5"/>
  <c r="N90" i="5"/>
  <c r="F90" i="5"/>
  <c r="F86" i="5"/>
  <c r="N86" i="5"/>
  <c r="F82" i="5"/>
  <c r="N82" i="5"/>
  <c r="N78" i="5"/>
  <c r="F78" i="5"/>
  <c r="N74" i="5"/>
  <c r="F74" i="5"/>
  <c r="N70" i="5"/>
  <c r="F70" i="5"/>
  <c r="F66" i="5"/>
  <c r="N66" i="5"/>
  <c r="N62" i="5"/>
  <c r="F62" i="5"/>
  <c r="N58" i="5"/>
  <c r="F58" i="5"/>
  <c r="F54" i="5"/>
  <c r="N54" i="5"/>
  <c r="F50" i="5"/>
  <c r="N50" i="5"/>
  <c r="F46" i="5"/>
  <c r="N46" i="5"/>
  <c r="N42" i="5"/>
  <c r="F42" i="5"/>
  <c r="N38" i="5"/>
  <c r="F38" i="5"/>
  <c r="F34" i="5"/>
  <c r="N34" i="5"/>
  <c r="N30" i="5"/>
  <c r="F30" i="5"/>
  <c r="N26" i="5"/>
  <c r="F26" i="5"/>
  <c r="N22" i="5"/>
  <c r="F22" i="5"/>
  <c r="F18" i="5"/>
  <c r="N18" i="5"/>
  <c r="F14" i="5"/>
  <c r="N14" i="5"/>
  <c r="N10" i="5"/>
  <c r="F10" i="5"/>
  <c r="F6" i="5"/>
  <c r="N6" i="5"/>
  <c r="F2" i="5"/>
  <c r="N2" i="5"/>
</calcChain>
</file>

<file path=xl/sharedStrings.xml><?xml version="1.0" encoding="utf-8"?>
<sst xmlns="http://schemas.openxmlformats.org/spreadsheetml/2006/main" count="3557" uniqueCount="897">
  <si>
    <t>treatment_id</t>
  </si>
  <si>
    <t>appointment_id</t>
  </si>
  <si>
    <t>treatment_type</t>
  </si>
  <si>
    <t>description</t>
  </si>
  <si>
    <t>cost</t>
  </si>
  <si>
    <t>treatment_date</t>
  </si>
  <si>
    <t>T001</t>
  </si>
  <si>
    <t>A001</t>
  </si>
  <si>
    <t>Chemotherapy</t>
  </si>
  <si>
    <t>Basic screening</t>
  </si>
  <si>
    <t>T002</t>
  </si>
  <si>
    <t>A002</t>
  </si>
  <si>
    <t>MRI</t>
  </si>
  <si>
    <t>Advanced protocol</t>
  </si>
  <si>
    <t>T003</t>
  </si>
  <si>
    <t>A003</t>
  </si>
  <si>
    <t>Standard procedure</t>
  </si>
  <si>
    <t>T004</t>
  </si>
  <si>
    <t>A004</t>
  </si>
  <si>
    <t>T005</t>
  </si>
  <si>
    <t>A005</t>
  </si>
  <si>
    <t>ECG</t>
  </si>
  <si>
    <t>T006</t>
  </si>
  <si>
    <t>A006</t>
  </si>
  <si>
    <t>T007</t>
  </si>
  <si>
    <t>A007</t>
  </si>
  <si>
    <t>T008</t>
  </si>
  <si>
    <t>A008</t>
  </si>
  <si>
    <t>Physiotherapy</t>
  </si>
  <si>
    <t>T009</t>
  </si>
  <si>
    <t>A009</t>
  </si>
  <si>
    <t>T010</t>
  </si>
  <si>
    <t>A010</t>
  </si>
  <si>
    <t>T011</t>
  </si>
  <si>
    <t>A011</t>
  </si>
  <si>
    <t>T012</t>
  </si>
  <si>
    <t>A012</t>
  </si>
  <si>
    <t>T013</t>
  </si>
  <si>
    <t>A013</t>
  </si>
  <si>
    <t>T014</t>
  </si>
  <si>
    <t>A014</t>
  </si>
  <si>
    <t>T015</t>
  </si>
  <si>
    <t>A015</t>
  </si>
  <si>
    <t>T016</t>
  </si>
  <si>
    <t>A016</t>
  </si>
  <si>
    <t>T017</t>
  </si>
  <si>
    <t>A017</t>
  </si>
  <si>
    <t>T018</t>
  </si>
  <si>
    <t>A018</t>
  </si>
  <si>
    <t>T019</t>
  </si>
  <si>
    <t>A019</t>
  </si>
  <si>
    <t>X-Ray</t>
  </si>
  <si>
    <t>T020</t>
  </si>
  <si>
    <t>A020</t>
  </si>
  <si>
    <t>T021</t>
  </si>
  <si>
    <t>A021</t>
  </si>
  <si>
    <t>T022</t>
  </si>
  <si>
    <t>A022</t>
  </si>
  <si>
    <t>T023</t>
  </si>
  <si>
    <t>A023</t>
  </si>
  <si>
    <t>T024</t>
  </si>
  <si>
    <t>A024</t>
  </si>
  <si>
    <t>T025</t>
  </si>
  <si>
    <t>A025</t>
  </si>
  <si>
    <t>T026</t>
  </si>
  <si>
    <t>A026</t>
  </si>
  <si>
    <t>T027</t>
  </si>
  <si>
    <t>A027</t>
  </si>
  <si>
    <t>T028</t>
  </si>
  <si>
    <t>A028</t>
  </si>
  <si>
    <t>T029</t>
  </si>
  <si>
    <t>A029</t>
  </si>
  <si>
    <t>T030</t>
  </si>
  <si>
    <t>A030</t>
  </si>
  <si>
    <t>T031</t>
  </si>
  <si>
    <t>A031</t>
  </si>
  <si>
    <t>T032</t>
  </si>
  <si>
    <t>A032</t>
  </si>
  <si>
    <t>T033</t>
  </si>
  <si>
    <t>A033</t>
  </si>
  <si>
    <t>T034</t>
  </si>
  <si>
    <t>A034</t>
  </si>
  <si>
    <t>T035</t>
  </si>
  <si>
    <t>A035</t>
  </si>
  <si>
    <t>T036</t>
  </si>
  <si>
    <t>A036</t>
  </si>
  <si>
    <t>T037</t>
  </si>
  <si>
    <t>A037</t>
  </si>
  <si>
    <t>T038</t>
  </si>
  <si>
    <t>A038</t>
  </si>
  <si>
    <t>T039</t>
  </si>
  <si>
    <t>A039</t>
  </si>
  <si>
    <t>T040</t>
  </si>
  <si>
    <t>A040</t>
  </si>
  <si>
    <t>T041</t>
  </si>
  <si>
    <t>A041</t>
  </si>
  <si>
    <t>T042</t>
  </si>
  <si>
    <t>A042</t>
  </si>
  <si>
    <t>T043</t>
  </si>
  <si>
    <t>A043</t>
  </si>
  <si>
    <t>T044</t>
  </si>
  <si>
    <t>A044</t>
  </si>
  <si>
    <t>T045</t>
  </si>
  <si>
    <t>A045</t>
  </si>
  <si>
    <t>T046</t>
  </si>
  <si>
    <t>A046</t>
  </si>
  <si>
    <t>T047</t>
  </si>
  <si>
    <t>A047</t>
  </si>
  <si>
    <t>T048</t>
  </si>
  <si>
    <t>A048</t>
  </si>
  <si>
    <t>T049</t>
  </si>
  <si>
    <t>A049</t>
  </si>
  <si>
    <t>T050</t>
  </si>
  <si>
    <t>A050</t>
  </si>
  <si>
    <t>T051</t>
  </si>
  <si>
    <t>A051</t>
  </si>
  <si>
    <t>T052</t>
  </si>
  <si>
    <t>A052</t>
  </si>
  <si>
    <t>T053</t>
  </si>
  <si>
    <t>A053</t>
  </si>
  <si>
    <t>T054</t>
  </si>
  <si>
    <t>A054</t>
  </si>
  <si>
    <t>T055</t>
  </si>
  <si>
    <t>A055</t>
  </si>
  <si>
    <t>T056</t>
  </si>
  <si>
    <t>A056</t>
  </si>
  <si>
    <t>T057</t>
  </si>
  <si>
    <t>A057</t>
  </si>
  <si>
    <t>T058</t>
  </si>
  <si>
    <t>A058</t>
  </si>
  <si>
    <t>T059</t>
  </si>
  <si>
    <t>A059</t>
  </si>
  <si>
    <t>T060</t>
  </si>
  <si>
    <t>A060</t>
  </si>
  <si>
    <t>T061</t>
  </si>
  <si>
    <t>A061</t>
  </si>
  <si>
    <t>T062</t>
  </si>
  <si>
    <t>A062</t>
  </si>
  <si>
    <t>T063</t>
  </si>
  <si>
    <t>A063</t>
  </si>
  <si>
    <t>T064</t>
  </si>
  <si>
    <t>A064</t>
  </si>
  <si>
    <t>T065</t>
  </si>
  <si>
    <t>A065</t>
  </si>
  <si>
    <t>T066</t>
  </si>
  <si>
    <t>A066</t>
  </si>
  <si>
    <t>T067</t>
  </si>
  <si>
    <t>A067</t>
  </si>
  <si>
    <t>T068</t>
  </si>
  <si>
    <t>A068</t>
  </si>
  <si>
    <t>T069</t>
  </si>
  <si>
    <t>A069</t>
  </si>
  <si>
    <t>T070</t>
  </si>
  <si>
    <t>A070</t>
  </si>
  <si>
    <t>T071</t>
  </si>
  <si>
    <t>A071</t>
  </si>
  <si>
    <t>T072</t>
  </si>
  <si>
    <t>A072</t>
  </si>
  <si>
    <t>T073</t>
  </si>
  <si>
    <t>A073</t>
  </si>
  <si>
    <t>T074</t>
  </si>
  <si>
    <t>A074</t>
  </si>
  <si>
    <t>T075</t>
  </si>
  <si>
    <t>A075</t>
  </si>
  <si>
    <t>T076</t>
  </si>
  <si>
    <t>A076</t>
  </si>
  <si>
    <t>T077</t>
  </si>
  <si>
    <t>A077</t>
  </si>
  <si>
    <t>T078</t>
  </si>
  <si>
    <t>A078</t>
  </si>
  <si>
    <t>T079</t>
  </si>
  <si>
    <t>A079</t>
  </si>
  <si>
    <t>T080</t>
  </si>
  <si>
    <t>A080</t>
  </si>
  <si>
    <t>T081</t>
  </si>
  <si>
    <t>A081</t>
  </si>
  <si>
    <t>T082</t>
  </si>
  <si>
    <t>A082</t>
  </si>
  <si>
    <t>T083</t>
  </si>
  <si>
    <t>A083</t>
  </si>
  <si>
    <t>T084</t>
  </si>
  <si>
    <t>A084</t>
  </si>
  <si>
    <t>T085</t>
  </si>
  <si>
    <t>A085</t>
  </si>
  <si>
    <t>T086</t>
  </si>
  <si>
    <t>A086</t>
  </si>
  <si>
    <t>T087</t>
  </si>
  <si>
    <t>A087</t>
  </si>
  <si>
    <t>T088</t>
  </si>
  <si>
    <t>A088</t>
  </si>
  <si>
    <t>T089</t>
  </si>
  <si>
    <t>A089</t>
  </si>
  <si>
    <t>T090</t>
  </si>
  <si>
    <t>A090</t>
  </si>
  <si>
    <t>T091</t>
  </si>
  <si>
    <t>A091</t>
  </si>
  <si>
    <t>T092</t>
  </si>
  <si>
    <t>A092</t>
  </si>
  <si>
    <t>T093</t>
  </si>
  <si>
    <t>A093</t>
  </si>
  <si>
    <t>T094</t>
  </si>
  <si>
    <t>A094</t>
  </si>
  <si>
    <t>T095</t>
  </si>
  <si>
    <t>A095</t>
  </si>
  <si>
    <t>T096</t>
  </si>
  <si>
    <t>A096</t>
  </si>
  <si>
    <t>T097</t>
  </si>
  <si>
    <t>A097</t>
  </si>
  <si>
    <t>T098</t>
  </si>
  <si>
    <t>A098</t>
  </si>
  <si>
    <t>T099</t>
  </si>
  <si>
    <t>A099</t>
  </si>
  <si>
    <t>T100</t>
  </si>
  <si>
    <t>A100</t>
  </si>
  <si>
    <t>T101</t>
  </si>
  <si>
    <t>A101</t>
  </si>
  <si>
    <t>T102</t>
  </si>
  <si>
    <t>A102</t>
  </si>
  <si>
    <t>T103</t>
  </si>
  <si>
    <t>A103</t>
  </si>
  <si>
    <t>T104</t>
  </si>
  <si>
    <t>A104</t>
  </si>
  <si>
    <t>T105</t>
  </si>
  <si>
    <t>A105</t>
  </si>
  <si>
    <t>T106</t>
  </si>
  <si>
    <t>A106</t>
  </si>
  <si>
    <t>T107</t>
  </si>
  <si>
    <t>A107</t>
  </si>
  <si>
    <t>T108</t>
  </si>
  <si>
    <t>A108</t>
  </si>
  <si>
    <t>T109</t>
  </si>
  <si>
    <t>A109</t>
  </si>
  <si>
    <t>T110</t>
  </si>
  <si>
    <t>A110</t>
  </si>
  <si>
    <t>T111</t>
  </si>
  <si>
    <t>A111</t>
  </si>
  <si>
    <t>T112</t>
  </si>
  <si>
    <t>A112</t>
  </si>
  <si>
    <t>T113</t>
  </si>
  <si>
    <t>A113</t>
  </si>
  <si>
    <t>T114</t>
  </si>
  <si>
    <t>A114</t>
  </si>
  <si>
    <t>T115</t>
  </si>
  <si>
    <t>A115</t>
  </si>
  <si>
    <t>T116</t>
  </si>
  <si>
    <t>A116</t>
  </si>
  <si>
    <t>T117</t>
  </si>
  <si>
    <t>A117</t>
  </si>
  <si>
    <t>T118</t>
  </si>
  <si>
    <t>A118</t>
  </si>
  <si>
    <t>T119</t>
  </si>
  <si>
    <t>A119</t>
  </si>
  <si>
    <t>T120</t>
  </si>
  <si>
    <t>A120</t>
  </si>
  <si>
    <t>T121</t>
  </si>
  <si>
    <t>A121</t>
  </si>
  <si>
    <t>T122</t>
  </si>
  <si>
    <t>A122</t>
  </si>
  <si>
    <t>T123</t>
  </si>
  <si>
    <t>A123</t>
  </si>
  <si>
    <t>T124</t>
  </si>
  <si>
    <t>A124</t>
  </si>
  <si>
    <t>T125</t>
  </si>
  <si>
    <t>A125</t>
  </si>
  <si>
    <t>T126</t>
  </si>
  <si>
    <t>A126</t>
  </si>
  <si>
    <t>T127</t>
  </si>
  <si>
    <t>A127</t>
  </si>
  <si>
    <t>T128</t>
  </si>
  <si>
    <t>A128</t>
  </si>
  <si>
    <t>T129</t>
  </si>
  <si>
    <t>A129</t>
  </si>
  <si>
    <t>T130</t>
  </si>
  <si>
    <t>A130</t>
  </si>
  <si>
    <t>T131</t>
  </si>
  <si>
    <t>A131</t>
  </si>
  <si>
    <t>T132</t>
  </si>
  <si>
    <t>A132</t>
  </si>
  <si>
    <t>T133</t>
  </si>
  <si>
    <t>A133</t>
  </si>
  <si>
    <t>T134</t>
  </si>
  <si>
    <t>A134</t>
  </si>
  <si>
    <t>T135</t>
  </si>
  <si>
    <t>A135</t>
  </si>
  <si>
    <t>T136</t>
  </si>
  <si>
    <t>A136</t>
  </si>
  <si>
    <t>T137</t>
  </si>
  <si>
    <t>A137</t>
  </si>
  <si>
    <t>T138</t>
  </si>
  <si>
    <t>A138</t>
  </si>
  <si>
    <t>T139</t>
  </si>
  <si>
    <t>A139</t>
  </si>
  <si>
    <t>T140</t>
  </si>
  <si>
    <t>A140</t>
  </si>
  <si>
    <t>T141</t>
  </si>
  <si>
    <t>A141</t>
  </si>
  <si>
    <t>T142</t>
  </si>
  <si>
    <t>A142</t>
  </si>
  <si>
    <t>T143</t>
  </si>
  <si>
    <t>A143</t>
  </si>
  <si>
    <t>T144</t>
  </si>
  <si>
    <t>A144</t>
  </si>
  <si>
    <t>T145</t>
  </si>
  <si>
    <t>A145</t>
  </si>
  <si>
    <t>T146</t>
  </si>
  <si>
    <t>A146</t>
  </si>
  <si>
    <t>T147</t>
  </si>
  <si>
    <t>A147</t>
  </si>
  <si>
    <t>T148</t>
  </si>
  <si>
    <t>A148</t>
  </si>
  <si>
    <t>T149</t>
  </si>
  <si>
    <t>A149</t>
  </si>
  <si>
    <t>T150</t>
  </si>
  <si>
    <t>A150</t>
  </si>
  <si>
    <t>T151</t>
  </si>
  <si>
    <t>A151</t>
  </si>
  <si>
    <t>T152</t>
  </si>
  <si>
    <t>A152</t>
  </si>
  <si>
    <t>T153</t>
  </si>
  <si>
    <t>A153</t>
  </si>
  <si>
    <t>T154</t>
  </si>
  <si>
    <t>A154</t>
  </si>
  <si>
    <t>T155</t>
  </si>
  <si>
    <t>A155</t>
  </si>
  <si>
    <t>T156</t>
  </si>
  <si>
    <t>A156</t>
  </si>
  <si>
    <t>T157</t>
  </si>
  <si>
    <t>A157</t>
  </si>
  <si>
    <t>T158</t>
  </si>
  <si>
    <t>A158</t>
  </si>
  <si>
    <t>T159</t>
  </si>
  <si>
    <t>A159</t>
  </si>
  <si>
    <t>T160</t>
  </si>
  <si>
    <t>A160</t>
  </si>
  <si>
    <t>T161</t>
  </si>
  <si>
    <t>A161</t>
  </si>
  <si>
    <t>T162</t>
  </si>
  <si>
    <t>A162</t>
  </si>
  <si>
    <t>T163</t>
  </si>
  <si>
    <t>A163</t>
  </si>
  <si>
    <t>T164</t>
  </si>
  <si>
    <t>A164</t>
  </si>
  <si>
    <t>T165</t>
  </si>
  <si>
    <t>A165</t>
  </si>
  <si>
    <t>T166</t>
  </si>
  <si>
    <t>A166</t>
  </si>
  <si>
    <t>T167</t>
  </si>
  <si>
    <t>A167</t>
  </si>
  <si>
    <t>T168</t>
  </si>
  <si>
    <t>A168</t>
  </si>
  <si>
    <t>T169</t>
  </si>
  <si>
    <t>A169</t>
  </si>
  <si>
    <t>T170</t>
  </si>
  <si>
    <t>A170</t>
  </si>
  <si>
    <t>T171</t>
  </si>
  <si>
    <t>A171</t>
  </si>
  <si>
    <t>T172</t>
  </si>
  <si>
    <t>A172</t>
  </si>
  <si>
    <t>T173</t>
  </si>
  <si>
    <t>A173</t>
  </si>
  <si>
    <t>T174</t>
  </si>
  <si>
    <t>A174</t>
  </si>
  <si>
    <t>T175</t>
  </si>
  <si>
    <t>A175</t>
  </si>
  <si>
    <t>T176</t>
  </si>
  <si>
    <t>A176</t>
  </si>
  <si>
    <t>T177</t>
  </si>
  <si>
    <t>A177</t>
  </si>
  <si>
    <t>T178</t>
  </si>
  <si>
    <t>A178</t>
  </si>
  <si>
    <t>T179</t>
  </si>
  <si>
    <t>A179</t>
  </si>
  <si>
    <t>T180</t>
  </si>
  <si>
    <t>A180</t>
  </si>
  <si>
    <t>T181</t>
  </si>
  <si>
    <t>A181</t>
  </si>
  <si>
    <t>T182</t>
  </si>
  <si>
    <t>A182</t>
  </si>
  <si>
    <t>T183</t>
  </si>
  <si>
    <t>A183</t>
  </si>
  <si>
    <t>T184</t>
  </si>
  <si>
    <t>A184</t>
  </si>
  <si>
    <t>T185</t>
  </si>
  <si>
    <t>A185</t>
  </si>
  <si>
    <t>T186</t>
  </si>
  <si>
    <t>A186</t>
  </si>
  <si>
    <t>T187</t>
  </si>
  <si>
    <t>A187</t>
  </si>
  <si>
    <t>T188</t>
  </si>
  <si>
    <t>A188</t>
  </si>
  <si>
    <t>T189</t>
  </si>
  <si>
    <t>A189</t>
  </si>
  <si>
    <t>T190</t>
  </si>
  <si>
    <t>A190</t>
  </si>
  <si>
    <t>T191</t>
  </si>
  <si>
    <t>A191</t>
  </si>
  <si>
    <t>T192</t>
  </si>
  <si>
    <t>A192</t>
  </si>
  <si>
    <t>T193</t>
  </si>
  <si>
    <t>A193</t>
  </si>
  <si>
    <t>T194</t>
  </si>
  <si>
    <t>A194</t>
  </si>
  <si>
    <t>T195</t>
  </si>
  <si>
    <t>A195</t>
  </si>
  <si>
    <t>T196</t>
  </si>
  <si>
    <t>A196</t>
  </si>
  <si>
    <t>T197</t>
  </si>
  <si>
    <t>A197</t>
  </si>
  <si>
    <t>T198</t>
  </si>
  <si>
    <t>A198</t>
  </si>
  <si>
    <t>T199</t>
  </si>
  <si>
    <t>A199</t>
  </si>
  <si>
    <t>T200</t>
  </si>
  <si>
    <t>A200</t>
  </si>
  <si>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</si>
  <si>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</si>
  <si>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</si>
  <si>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</si>
  <si>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</si>
  <si>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</si>
  <si>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</si>
  <si>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</si>
  <si>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</si>
  <si>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</si>
  <si>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</si>
  <si>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</si>
  <si>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</si>
  <si>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</si>
  <si>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</si>
  <si>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</si>
  <si>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</si>
  <si>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</si>
  <si>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</si>
  <si>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</si>
  <si>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</si>
  <si>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</si>
  <si>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</si>
  <si>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</si>
  <si>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</si>
  <si>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</si>
  <si>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P003</t>
  </si>
  <si>
    <t>Laura</t>
  </si>
  <si>
    <t>Jones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</si>
  <si>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</si>
  <si>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</si>
  <si>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</si>
  <si>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</si>
  <si>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</si>
  <si>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</si>
  <si>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</si>
  <si>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</si>
  <si>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</si>
  <si>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</si>
  <si>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</si>
  <si>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</si>
  <si>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</si>
  <si>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</si>
  <si>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</si>
  <si>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</si>
  <si>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</si>
  <si>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</si>
  <si>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</si>
  <si>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</si>
  <si>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</si>
  <si>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</si>
  <si>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</si>
  <si>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</si>
  <si>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</si>
  <si>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</si>
  <si>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</si>
  <si>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</si>
  <si>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</si>
  <si>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</si>
  <si>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</si>
  <si>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</si>
  <si>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</si>
  <si>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</si>
  <si>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</si>
  <si>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</si>
  <si>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</si>
  <si>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</si>
  <si>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</si>
  <si>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</si>
  <si>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</si>
  <si>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</si>
  <si>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</si>
  <si>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</si>
  <si>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</si>
  <si>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</si>
  <si>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</si>
  <si>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</si>
  <si>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</si>
  <si>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</si>
  <si>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</si>
  <si>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</si>
  <si>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</si>
  <si>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</si>
  <si>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</si>
  <si>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</si>
  <si>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</si>
  <si>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</si>
  <si>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</si>
  <si>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</si>
  <si>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</si>
  <si>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</si>
  <si>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</si>
  <si>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</si>
  <si>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</si>
  <si>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</si>
  <si>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</si>
  <si>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</si>
  <si>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</si>
  <si>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</si>
  <si>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</si>
  <si>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</si>
  <si>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</si>
  <si>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</si>
  <si>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</si>
  <si>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</si>
  <si>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</si>
  <si>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</si>
  <si>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</si>
  <si>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</si>
  <si>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</si>
  <si>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</si>
  <si>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</si>
  <si>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</si>
  <si>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</si>
  <si>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</si>
  <si>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</si>
  <si>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</si>
  <si>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</si>
  <si>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</si>
  <si>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</si>
  <si>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</si>
  <si>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</si>
  <si>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</si>
  <si>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</si>
  <si>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</si>
  <si>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</si>
  <si>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</si>
  <si>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</si>
  <si>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</si>
  <si>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</si>
  <si>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</si>
  <si>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</si>
  <si>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</si>
  <si>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</si>
  <si>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</si>
  <si>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</si>
  <si>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</si>
  <si>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</si>
  <si>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</si>
  <si>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</si>
  <si>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</si>
  <si>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</si>
  <si>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</si>
  <si>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</si>
  <si>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</si>
  <si>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</si>
  <si>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</si>
  <si>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</si>
  <si>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</si>
  <si>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</si>
  <si>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</si>
  <si>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</si>
  <si>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</si>
  <si>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</si>
  <si>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</si>
  <si>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</si>
  <si>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</si>
  <si>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</si>
  <si>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</si>
  <si>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</si>
  <si>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</si>
  <si>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</si>
  <si>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</si>
  <si>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</si>
  <si>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</si>
  <si>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</si>
  <si>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</si>
  <si>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</si>
  <si>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</si>
  <si>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</si>
  <si>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</si>
  <si>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</si>
  <si>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</si>
  <si>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</si>
  <si>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</si>
  <si>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</si>
  <si>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</si>
  <si>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</si>
  <si>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</si>
  <si>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</si>
  <si>
    <t>doctor_id</t>
  </si>
  <si>
    <t>specialization</t>
  </si>
  <si>
    <t>phone_number</t>
  </si>
  <si>
    <t>years_experience</t>
  </si>
  <si>
    <t>hospital_branch</t>
  </si>
  <si>
    <t>D001</t>
  </si>
  <si>
    <t>Dermatology</t>
  </si>
  <si>
    <t>Westside Clinic</t>
  </si>
  <si>
    <t>dr.david.taylor@hospital.com</t>
  </si>
  <si>
    <t>D002</t>
  </si>
  <si>
    <t>Pediatrics</t>
  </si>
  <si>
    <t>Eastside Clinic</t>
  </si>
  <si>
    <t>dr.jane.davis@hospital.com</t>
  </si>
  <si>
    <t>D003</t>
  </si>
  <si>
    <t>dr.jane.smith@hospital.com</t>
  </si>
  <si>
    <t>D004</t>
  </si>
  <si>
    <t>Central Hospital</t>
  </si>
  <si>
    <t>dr.david.jones@hospital.com</t>
  </si>
  <si>
    <t>D005</t>
  </si>
  <si>
    <t>dr.sarah.taylor@hospital.com</t>
  </si>
  <si>
    <t>D006</t>
  </si>
  <si>
    <t>dr.alex.davis@hospital.com</t>
  </si>
  <si>
    <t>D007</t>
  </si>
  <si>
    <t>Oncology</t>
  </si>
  <si>
    <t>dr.robert.davis@hospital.com</t>
  </si>
  <si>
    <t>D008</t>
  </si>
  <si>
    <t>dr.linda.brown@hospital.com</t>
  </si>
  <si>
    <t>D009</t>
  </si>
  <si>
    <t>dr.sarah.smith@hospital.com</t>
  </si>
  <si>
    <t>D010</t>
  </si>
  <si>
    <t>dr.linda.wilson@hospital.com</t>
  </si>
  <si>
    <t>appointment_date</t>
  </si>
  <si>
    <t>appointment_time</t>
  </si>
  <si>
    <t>reason_for_visit</t>
  </si>
  <si>
    <t>status</t>
  </si>
  <si>
    <t>Therapy</t>
  </si>
  <si>
    <t>Scheduled</t>
  </si>
  <si>
    <t>No-show</t>
  </si>
  <si>
    <t>Consultation</t>
  </si>
  <si>
    <t>Cancelled</t>
  </si>
  <si>
    <t>Emergency</t>
  </si>
  <si>
    <t>Checkup</t>
  </si>
  <si>
    <t>Follow-up</t>
  </si>
  <si>
    <t>Completed</t>
  </si>
  <si>
    <t>bill_id</t>
  </si>
  <si>
    <t>bill_date</t>
  </si>
  <si>
    <t>amount</t>
  </si>
  <si>
    <t>payment_method</t>
  </si>
  <si>
    <t>payment_status</t>
  </si>
  <si>
    <t>B001</t>
  </si>
  <si>
    <t>Insurance</t>
  </si>
  <si>
    <t>Pending</t>
  </si>
  <si>
    <t>B002</t>
  </si>
  <si>
    <t>Paid</t>
  </si>
  <si>
    <t>B003</t>
  </si>
  <si>
    <t>B004</t>
  </si>
  <si>
    <t>Failed</t>
  </si>
  <si>
    <t>B005</t>
  </si>
  <si>
    <t>Credit Card</t>
  </si>
  <si>
    <t>B006</t>
  </si>
  <si>
    <t>B007</t>
  </si>
  <si>
    <t>Cash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</si>
  <si>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</si>
  <si>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</si>
  <si>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</si>
  <si>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</si>
  <si>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</si>
  <si>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</si>
  <si>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</si>
  <si>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</si>
  <si>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</si>
  <si>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</si>
  <si>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</si>
  <si>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</si>
  <si>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</si>
  <si>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</si>
  <si>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</si>
  <si>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</si>
  <si>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</si>
  <si>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</si>
  <si>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</si>
  <si>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</si>
  <si>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</si>
  <si>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</si>
  <si>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</si>
  <si>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</si>
  <si>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</si>
  <si>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</si>
  <si>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</si>
  <si>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</si>
  <si>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</si>
  <si>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</si>
  <si>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</si>
  <si>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</si>
  <si>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</si>
  <si>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</si>
  <si>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</si>
  <si>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</si>
  <si>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</si>
  <si>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</si>
  <si>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</si>
  <si>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</si>
  <si>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</si>
  <si>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</si>
  <si>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</si>
  <si>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</si>
  <si>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</si>
  <si>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</si>
  <si>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</si>
  <si>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</si>
  <si>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</si>
  <si>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</si>
  <si>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</si>
  <si>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</si>
  <si>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</si>
  <si>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</si>
  <si>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</si>
  <si>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</si>
  <si>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</si>
  <si>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</si>
  <si>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</si>
  <si>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</si>
  <si>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</si>
  <si>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</si>
  <si>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</si>
  <si>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</si>
  <si>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</si>
  <si>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</si>
  <si>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</si>
  <si>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</si>
  <si>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</si>
  <si>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</si>
  <si>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</si>
  <si>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</si>
  <si>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</si>
  <si>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</si>
  <si>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</si>
  <si>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</si>
  <si>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</si>
  <si>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</si>
  <si>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</si>
  <si>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</si>
  <si>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</si>
  <si>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</si>
  <si>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</si>
  <si>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</si>
  <si>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</si>
  <si>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</si>
  <si>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</si>
  <si>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</si>
  <si>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</si>
  <si>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</si>
  <si>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</si>
  <si>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</si>
  <si>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</si>
  <si>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</si>
  <si>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</si>
  <si>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</si>
  <si>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</si>
  <si>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</si>
  <si>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</si>
  <si>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</si>
  <si>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</si>
  <si>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</si>
  <si>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</si>
  <si>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</si>
  <si>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</si>
  <si>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</si>
  <si>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</si>
  <si>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</si>
  <si>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</si>
  <si>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</si>
  <si>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</si>
  <si>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</si>
  <si>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</si>
  <si>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</si>
  <si>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</si>
  <si>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</si>
  <si>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</si>
  <si>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</si>
  <si>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</si>
  <si>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</si>
  <si>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</si>
  <si>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</si>
  <si>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</si>
  <si>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</si>
  <si>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</si>
  <si>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</si>
  <si>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</si>
  <si>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</si>
  <si>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</si>
  <si>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</si>
  <si>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</si>
  <si>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</si>
  <si>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</si>
  <si>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</si>
  <si>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</si>
  <si>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</si>
  <si>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</si>
  <si>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</si>
  <si>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</si>
  <si>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</si>
  <si>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</si>
  <si>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</si>
  <si>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</si>
  <si>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</si>
  <si>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</si>
  <si>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</si>
  <si>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</si>
  <si>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</si>
  <si>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</si>
  <si>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</si>
  <si>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</si>
  <si>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</si>
  <si>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</si>
  <si>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</si>
  <si>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</si>
  <si>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</si>
  <si>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</si>
  <si>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</si>
  <si>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</si>
  <si>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</si>
  <si>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</si>
  <si>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</si>
  <si>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</si>
  <si>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</si>
  <si>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</si>
  <si>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</si>
  <si>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</si>
  <si>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</si>
  <si>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</si>
  <si>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</si>
  <si>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</si>
  <si>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</si>
  <si>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</si>
  <si>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</si>
  <si>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</si>
  <si>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</si>
  <si>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</si>
  <si>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</si>
  <si>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</si>
  <si>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</si>
  <si>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</si>
  <si>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</si>
  <si>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</si>
  <si>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</si>
  <si>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</si>
  <si>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</si>
  <si>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</si>
  <si>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</si>
  <si>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</si>
  <si>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</si>
  <si>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</si>
  <si>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</si>
  <si>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</si>
  <si>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Doctor_Name</t>
  </si>
  <si>
    <t>Sarah Smith</t>
  </si>
  <si>
    <t>David Jones</t>
  </si>
  <si>
    <t>Alex Davis</t>
  </si>
  <si>
    <t>Jane Smith</t>
  </si>
  <si>
    <t>Robert Davis</t>
  </si>
  <si>
    <t>Linda Wilson</t>
  </si>
  <si>
    <t>Jane Davis</t>
  </si>
  <si>
    <t>Linda Brown</t>
  </si>
  <si>
    <t>David Taylor</t>
  </si>
  <si>
    <t>Sarah Taylor</t>
  </si>
  <si>
    <t>Provider</t>
  </si>
  <si>
    <t>Row Labels</t>
  </si>
  <si>
    <t>Grand Total</t>
  </si>
  <si>
    <r>
      <t xml:space="preserve">Only count appointments where the status is </t>
    </r>
    <r>
      <rPr>
        <b/>
        <sz val="11"/>
        <color rgb="FF000000"/>
        <rFont val="Calibri"/>
        <family val="2"/>
        <scheme val="minor"/>
      </rPr>
      <t>"Completed"</t>
    </r>
    <r>
      <rPr>
        <sz val="11"/>
        <color rgb="FF000000"/>
        <rFont val="Calibri"/>
        <family val="2"/>
        <scheme val="minor"/>
      </rPr>
      <t>.</t>
    </r>
  </si>
  <si>
    <r>
      <t xml:space="preserve">Calculate the total revenue (sum of amount in billing.csv) generated from payments made via </t>
    </r>
    <r>
      <rPr>
        <b/>
        <sz val="11"/>
        <color rgb="FF000000"/>
        <rFont val="Calibri"/>
        <family val="2"/>
        <scheme val="minor"/>
      </rPr>
      <t>"Insurance"</t>
    </r>
    <r>
      <rPr>
        <sz val="11"/>
        <color rgb="FF000000"/>
        <rFont val="Calibri"/>
        <family val="2"/>
        <scheme val="minor"/>
      </rPr>
      <t>.</t>
    </r>
  </si>
  <si>
    <t xml:space="preserve"> Calculate the average years_experience for doctors at each hospital_branch.</t>
  </si>
  <si>
    <t xml:space="preserve"> </t>
  </si>
  <si>
    <t>Audit_Status</t>
  </si>
  <si>
    <r>
      <t xml:space="preserve">Create a count of how many appointments occurred in </t>
    </r>
    <r>
      <rPr>
        <b/>
        <sz val="11"/>
        <color rgb="FF000000"/>
        <rFont val="Calibri"/>
        <family val="2"/>
        <scheme val="minor"/>
      </rPr>
      <t>April</t>
    </r>
    <r>
      <rPr>
        <sz val="11"/>
        <color rgb="FF000000"/>
        <rFont val="Calibri"/>
        <family val="2"/>
        <scheme val="minor"/>
      </rPr>
      <t>.</t>
    </r>
  </si>
  <si>
    <t>Month_name</t>
  </si>
  <si>
    <r>
      <t>Task:</t>
    </r>
    <r>
      <rPr>
        <sz val="11"/>
        <color rgb="FF000000"/>
        <rFont val="Calibri"/>
        <family val="2"/>
        <scheme val="minor"/>
      </rPr>
      <t xml:space="preserve"> Calculate the total billed amount for each </t>
    </r>
    <r>
      <rPr>
        <b/>
        <sz val="11"/>
        <color rgb="FF000000"/>
        <rFont val="Calibri"/>
        <family val="2"/>
        <scheme val="minor"/>
      </rPr>
      <t>Medical Specialization</t>
    </r>
    <r>
      <rPr>
        <sz val="11"/>
        <color rgb="FF000000"/>
        <rFont val="Calibri"/>
        <family val="2"/>
        <scheme val="minor"/>
      </rPr>
      <t>.</t>
    </r>
  </si>
  <si>
    <t>Appointment ID</t>
  </si>
  <si>
    <t>Docter_id</t>
  </si>
  <si>
    <t>Specialization</t>
  </si>
  <si>
    <t>Sum of amount</t>
  </si>
  <si>
    <t xml:space="preserve">Create a summary of Total Billed Amount per Patient ID. </t>
  </si>
  <si>
    <r>
      <t xml:space="preserve">Identify the patient with the </t>
    </r>
    <r>
      <rPr>
        <b/>
        <sz val="11"/>
        <color rgb="FF000000"/>
        <rFont val="Calibri"/>
        <family val="2"/>
        <scheme val="minor"/>
      </rPr>
      <t>highest Average Spend per Appointment</t>
    </r>
    <r>
      <rPr>
        <sz val="11"/>
        <color rgb="FF000000"/>
        <rFont val="Calibri"/>
        <family val="2"/>
        <scheme val="minor"/>
      </rPr>
      <t xml:space="preserve">, but </t>
    </r>
    <r>
      <rPr>
        <b/>
        <sz val="11"/>
        <color rgb="FF000000"/>
        <rFont val="Calibri"/>
        <family val="2"/>
        <scheme val="minor"/>
      </rPr>
      <t>ONLY</t>
    </r>
    <r>
      <rPr>
        <sz val="11"/>
        <color rgb="FF000000"/>
        <rFont val="Calibri"/>
        <family val="2"/>
        <scheme val="minor"/>
      </rPr>
      <t xml:space="preserve"> consider patients who have had </t>
    </r>
    <r>
      <rPr>
        <b/>
        <sz val="11"/>
        <color rgb="FF000000"/>
        <rFont val="Calibri"/>
        <family val="2"/>
        <scheme val="minor"/>
      </rPr>
      <t>at least 3 appointments</t>
    </r>
    <r>
      <rPr>
        <sz val="11"/>
        <color rgb="FF000000"/>
        <rFont val="Calibri"/>
        <family val="2"/>
        <scheme val="minor"/>
      </rPr>
      <t>.</t>
    </r>
  </si>
  <si>
    <t xml:space="preserve">Patient ID </t>
  </si>
  <si>
    <t xml:space="preserve">Bill ID </t>
  </si>
  <si>
    <t xml:space="preserve">Amount </t>
  </si>
  <si>
    <t xml:space="preserve">Name </t>
  </si>
  <si>
    <r>
      <t>Task:</t>
    </r>
    <r>
      <rPr>
        <sz val="11"/>
        <color rgb="FF000000"/>
        <rFont val="Calibri"/>
        <family val="2"/>
        <scheme val="minor"/>
      </rPr>
      <t xml:space="preserve"> Calculate the average "Lag Time" (in days) between the appointment_date and the bill_date for each Doctor.</t>
    </r>
  </si>
  <si>
    <t xml:space="preserve">Dpctor_name </t>
  </si>
  <si>
    <t>Lag_day</t>
  </si>
  <si>
    <t>Appointment_date</t>
  </si>
  <si>
    <t>Average of Lag_day</t>
  </si>
  <si>
    <r>
      <t>Task:</t>
    </r>
    <r>
      <rPr>
        <sz val="11"/>
        <color rgb="FF000000"/>
        <rFont val="Calibri"/>
        <family val="2"/>
        <scheme val="minor"/>
      </rPr>
      <t xml:space="preserve"> Find the </t>
    </r>
    <r>
      <rPr>
        <b/>
        <sz val="11"/>
        <color rgb="FF000000"/>
        <rFont val="Calibri"/>
        <family val="2"/>
        <scheme val="minor"/>
      </rPr>
      <t>Treatment Description</t>
    </r>
    <r>
      <rPr>
        <sz val="11"/>
        <color rgb="FF000000"/>
        <rFont val="Calibri"/>
        <family val="2"/>
        <scheme val="minor"/>
      </rPr>
      <t xml:space="preserve"> for the single highest bill that was paid using </t>
    </r>
    <r>
      <rPr>
        <b/>
        <sz val="11"/>
        <color rgb="FF000000"/>
        <rFont val="Calibri"/>
        <family val="2"/>
        <scheme val="minor"/>
      </rPr>
      <t>"Cash"</t>
    </r>
    <r>
      <rPr>
        <sz val="11"/>
        <color rgb="FF000000"/>
        <rFont val="Calibri"/>
        <family val="2"/>
        <scheme val="minor"/>
      </rPr>
      <t>.</t>
    </r>
  </si>
  <si>
    <r>
      <t>Step 1: Find the Highest Cash Payment</t>
    </r>
    <r>
      <rPr>
        <sz val="11"/>
        <color theme="1"/>
        <rFont val="Calibri"/>
        <family val="2"/>
        <scheme val="minor"/>
      </rPr>
      <t xml:space="preserve"> Use this formula to find the maximum dollar value</t>
    </r>
  </si>
  <si>
    <t>Reg_Year</t>
  </si>
  <si>
    <t>Patient Reg Year</t>
  </si>
  <si>
    <t>The marketing team wants to know if the hospital is growing due to new ads (New Patients) or if it relies on long-term customers (Existing Patients).</t>
  </si>
  <si>
    <r>
      <t>Task:</t>
    </r>
    <r>
      <rPr>
        <sz val="11"/>
        <color rgb="FF000000"/>
        <rFont val="Calibri"/>
        <family val="2"/>
        <scheme val="minor"/>
      </rPr>
      <t xml:space="preserve"> Calculate the total revenue split between:</t>
    </r>
  </si>
  <si>
    <t>Sum OF 2021 &amp; 2022</t>
  </si>
  <si>
    <t xml:space="preserve">New </t>
  </si>
  <si>
    <r>
      <t>Task:</t>
    </r>
    <r>
      <rPr>
        <sz val="11"/>
        <color rgb="FF000000"/>
        <rFont val="Calibri"/>
        <family val="2"/>
        <scheme val="minor"/>
      </rPr>
      <t xml:space="preserve"> Identify which </t>
    </r>
    <r>
      <rPr>
        <b/>
        <sz val="11"/>
        <color rgb="FF000000"/>
        <rFont val="Calibri"/>
        <family val="2"/>
        <scheme val="minor"/>
      </rPr>
      <t>Hour of the Day</t>
    </r>
    <r>
      <rPr>
        <sz val="11"/>
        <color rgb="FF000000"/>
        <rFont val="Calibri"/>
        <family val="2"/>
        <scheme val="minor"/>
      </rPr>
      <t xml:space="preserve"> has the highest number of scheduled appointments</t>
    </r>
  </si>
  <si>
    <t>Column1</t>
  </si>
  <si>
    <t>Count of appointment_id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</si>
</sst>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10" fontId="0" fillId="0" borderId="0" xfId="1" applyNumberFormat="1" applyFont="1"/>
    <xf numFmtId="0" fontId="2" fillId="0" borderId="0" xfId="0" applyFont="1" applyAlignment="1">
      <alignment vertical="center" readingOrder="1"/>
    </xf>
    <xf numFmtId="164" fontId="0" fillId="0" borderId="0" xfId="0" applyNumberForma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/>
    </xf>
    <xf numFmtId="0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21">
    <dxf>
      <numFmt numFmtId="0" formatCode="General"/>
    </dxf>
    <dxf>
      <numFmt numFmtId="170" formatCode="[$-F400]h:mm:ss\ AM/PM"/>
    </dxf>
    <dxf>
      <numFmt numFmtId="19" formatCode="dd/mm/yyyy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52400" y="123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</xdr:col>
      <xdr:colOff>152960</xdr:colOff>
      <xdr:row>0</xdr:row>
      <xdr:rowOff>131667</xdr:rowOff>
    </xdr:from>
    <xdr:to>
      <xdr:col>22</xdr:col>
      <xdr:colOff>121227</xdr:colOff>
      <xdr:row>131</xdr:row>
      <xdr:rowOff>69272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59096" y="131667"/>
          <a:ext cx="12697131" cy="24893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IN" b="1"/>
            <a:t>Part 1: Lookup &amp; Reference (VLOOKUP / XLOOKUP)</a:t>
          </a:r>
        </a:p>
        <a:p>
          <a:r>
            <a:rPr lang="en-IN" b="0"/>
            <a:t>	Question 1: Link Doctors to Appointments</a:t>
          </a:r>
        </a:p>
        <a:p>
          <a:r>
            <a:rPr lang="en-IN" b="0"/>
            <a:t>		Task: In the </a:t>
          </a:r>
          <a:r>
            <a:rPr lang="en-IN" b="1"/>
            <a:t>appointments.csv </a:t>
          </a:r>
          <a:r>
            <a:rPr lang="en-IN" b="0"/>
            <a:t>sheet, insert a new column called "</a:t>
          </a:r>
          <a:r>
            <a:rPr lang="en-IN" b="1"/>
            <a:t>Doctor Name</a:t>
          </a:r>
          <a:r>
            <a:rPr lang="en-IN" b="0"/>
            <a:t>".</a:t>
          </a:r>
        </a:p>
        <a:p>
          <a:r>
            <a:rPr lang="en-IN" b="0"/>
            <a:t>		Goal: Use a lookup formula to pull the </a:t>
          </a:r>
          <a:r>
            <a:rPr lang="en-IN" b="1"/>
            <a:t>doctor's last_name </a:t>
          </a:r>
          <a:r>
            <a:rPr lang="en-IN" b="0"/>
            <a:t>from the </a:t>
          </a:r>
          <a:r>
            <a:rPr lang="en-IN" b="1"/>
            <a:t>doctors.csv</a:t>
          </a:r>
          <a:r>
            <a:rPr lang="en-IN" b="0"/>
            <a:t> sheet based on the </a:t>
          </a:r>
          <a:r>
            <a:rPr lang="en-IN" b="1"/>
            <a:t>doctor_id.</a:t>
          </a:r>
        </a:p>
        <a:p>
          <a:r>
            <a:rPr lang="en-IN" b="0"/>
            <a:t>		Challenge: Try to combine </a:t>
          </a:r>
          <a:r>
            <a:rPr lang="en-IN" b="1"/>
            <a:t>first_name and last_name </a:t>
          </a:r>
          <a:r>
            <a:rPr lang="en-IN" b="0"/>
            <a:t>in the same cell (e.g., "Dr. Taylor").</a:t>
          </a:r>
        </a:p>
        <a:p>
          <a:r>
            <a:rPr lang="en-IN" b="1"/>
            <a:t>	Question 2: Insurance Check</a:t>
          </a:r>
          <a:endParaRPr lang="en-IN"/>
        </a:p>
        <a:p>
          <a:r>
            <a:rPr lang="en-IN" b="1"/>
            <a:t>		Task:</a:t>
          </a:r>
          <a:r>
            <a:rPr lang="en-IN"/>
            <a:t> In the billing.csv sheet, insert a new column called </a:t>
          </a:r>
          <a:r>
            <a:rPr lang="en-IN" b="1"/>
            <a:t>"Provider"</a:t>
          </a:r>
          <a:r>
            <a:rPr lang="en-IN"/>
            <a:t>.</a:t>
          </a:r>
        </a:p>
        <a:p>
          <a:r>
            <a:rPr lang="en-IN" b="1"/>
            <a:t>		Goal:</a:t>
          </a:r>
          <a:r>
            <a:rPr lang="en-IN"/>
            <a:t> Populate this column with the insurance_provider from the patients.csv sheet using the patient_id as the lookup key.</a:t>
          </a:r>
        </a:p>
        <a:p>
          <a:r>
            <a:rPr lang="en-IN" b="1"/>
            <a:t>Part 2: Data Analysis &amp; Pivot Tables</a:t>
          </a:r>
        </a:p>
        <a:p>
          <a:r>
            <a:rPr lang="en-IN" b="1"/>
            <a:t>	Question 3: Workload Analysis</a:t>
          </a:r>
          <a:endParaRPr lang="en-IN"/>
        </a:p>
        <a:p>
          <a:r>
            <a:rPr lang="en-IN" b="1"/>
            <a:t>		Task:</a:t>
          </a:r>
          <a:r>
            <a:rPr lang="en-IN"/>
            <a:t> Create a Pivot Table (or use COUNTIFS) to find out which </a:t>
          </a:r>
          <a:r>
            <a:rPr lang="en-IN" b="1"/>
            <a:t>Specialization</a:t>
          </a:r>
          <a:r>
            <a:rPr lang="en-IN"/>
            <a:t> completed the most appointments.</a:t>
          </a:r>
        </a:p>
        <a:p>
          <a:r>
            <a:rPr lang="en-IN" b="1"/>
            <a:t>		Filter:</a:t>
          </a:r>
          <a:r>
            <a:rPr lang="en-IN"/>
            <a:t> Only count appointments where the status is </a:t>
          </a:r>
          <a:r>
            <a:rPr lang="en-IN" b="1"/>
            <a:t>"Completed"</a:t>
          </a:r>
          <a:r>
            <a:rPr lang="en-IN"/>
            <a:t>.</a:t>
          </a:r>
        </a:p>
        <a:p>
          <a:r>
            <a:rPr lang="en-IN" b="1"/>
            <a:t>		Answer :</a:t>
          </a:r>
          <a:r>
            <a:rPr lang="en-IN"/>
            <a:t> Pediatrics should have </a:t>
          </a:r>
          <a:r>
            <a:rPr lang="en-IN" b="1"/>
            <a:t>46</a:t>
          </a:r>
          <a:r>
            <a:rPr lang="en-IN"/>
            <a:t> completed appointments.</a:t>
          </a:r>
        </a:p>
        <a:p>
          <a:r>
            <a:rPr lang="en-IN" b="1"/>
            <a:t>	Question 4: Financial Reporting</a:t>
          </a:r>
          <a:endParaRPr lang="en-IN"/>
        </a:p>
        <a:p>
          <a:r>
            <a:rPr lang="en-IN" b="1"/>
            <a:t>		Task:</a:t>
          </a:r>
          <a:r>
            <a:rPr lang="en-IN"/>
            <a:t> Calculate the total revenue (sum of amount in billing.csv) generated from payments made via </a:t>
          </a:r>
          <a:r>
            <a:rPr lang="en-IN" b="1"/>
            <a:t>"Insurance"</a:t>
          </a:r>
          <a:r>
            <a:rPr lang="en-IN"/>
            <a:t>.</a:t>
          </a:r>
        </a:p>
        <a:p>
          <a:r>
            <a:rPr lang="en-IN" b="1"/>
            <a:t>		Answer :</a:t>
          </a:r>
          <a:r>
            <a:rPr lang="en-IN"/>
            <a:t> The total should be approximately </a:t>
          </a:r>
          <a:r>
            <a:rPr lang="en-IN" b="1"/>
            <a:t>$182,160.28</a:t>
          </a:r>
          <a:r>
            <a:rPr lang="en-IN"/>
            <a:t>.</a:t>
          </a:r>
        </a:p>
        <a:p>
          <a:r>
            <a:rPr lang="en-IN" b="1"/>
            <a:t>	Question 5: Branch Stats</a:t>
          </a:r>
          <a:endParaRPr lang="en-IN"/>
        </a:p>
        <a:p>
          <a:r>
            <a:rPr lang="en-IN" b="1"/>
            <a:t>		Task:</a:t>
          </a:r>
          <a:r>
            <a:rPr lang="en-IN"/>
            <a:t> Calculate the average years_experience for doctors at each hospital_branch.</a:t>
          </a:r>
        </a:p>
        <a:p>
          <a:r>
            <a:rPr lang="en-IN" b="1"/>
            <a:t>		Answer :</a:t>
          </a:r>
          <a:r>
            <a:rPr lang="en-IN"/>
            <a:t> "Central Hospital" should have an average of </a:t>
          </a:r>
          <a:r>
            <a:rPr lang="en-IN" b="1"/>
            <a:t>25.75</a:t>
          </a:r>
          <a:r>
            <a:rPr lang="en-IN"/>
            <a:t> years.</a:t>
          </a:r>
        </a:p>
        <a:p>
          <a:r>
            <a:rPr lang="en-IN" b="1"/>
            <a:t>Part 3: Logical Functions &amp; Dates</a:t>
          </a:r>
        </a:p>
        <a:p>
          <a:r>
            <a:rPr lang="en-IN" b="1"/>
            <a:t>	Question 6: Payment Auditing</a:t>
          </a:r>
          <a:endParaRPr lang="en-IN"/>
        </a:p>
        <a:p>
          <a:r>
            <a:rPr lang="en-IN" b="1"/>
            <a:t>		Task:</a:t>
          </a:r>
          <a:r>
            <a:rPr lang="en-IN"/>
            <a:t> In the billing.csv sheet, create a new column called </a:t>
          </a:r>
          <a:r>
            <a:rPr lang="en-IN" b="1"/>
            <a:t>"Audit Status"</a:t>
          </a:r>
          <a:r>
            <a:rPr lang="en-IN"/>
            <a:t>.</a:t>
          </a:r>
        </a:p>
        <a:p>
          <a:r>
            <a:rPr lang="en-IN" b="1"/>
            <a:t>		Logic:</a:t>
          </a:r>
          <a:r>
            <a:rPr lang="en-IN"/>
            <a:t> Use an IF (or IFS) function.</a:t>
          </a:r>
        </a:p>
        <a:p>
          <a:pPr lvl="1"/>
          <a:r>
            <a:rPr lang="en-IN"/>
            <a:t>		If payment_status is "Failed" </a:t>
          </a:r>
          <a:r>
            <a:rPr lang="en-IN" b="1"/>
            <a:t>OR</a:t>
          </a:r>
          <a:r>
            <a:rPr lang="en-IN"/>
            <a:t> "Pending", display </a:t>
          </a:r>
          <a:r>
            <a:rPr lang="en-IN" b="1"/>
            <a:t>"Check Required"</a:t>
          </a:r>
          <a:r>
            <a:rPr lang="en-IN"/>
            <a:t>.</a:t>
          </a:r>
        </a:p>
        <a:p>
          <a:pPr lvl="1"/>
          <a:r>
            <a:rPr lang="en-IN"/>
            <a:t>		Otherwise, display </a:t>
          </a:r>
          <a:r>
            <a:rPr lang="en-IN" b="1"/>
            <a:t>"Clear"</a:t>
          </a:r>
          <a:r>
            <a:rPr lang="en-IN"/>
            <a:t>.</a:t>
          </a:r>
        </a:p>
        <a:p>
          <a:r>
            <a:rPr lang="en-IN" b="1"/>
            <a:t>	Question 7: Monthly Trends</a:t>
          </a:r>
          <a:endParaRPr lang="en-IN"/>
        </a:p>
        <a:p>
          <a:r>
            <a:rPr lang="en-IN" b="1"/>
            <a:t>		Task:</a:t>
          </a:r>
          <a:r>
            <a:rPr lang="en-IN"/>
            <a:t> In the appointments.csv sheet, extract the </a:t>
          </a:r>
          <a:r>
            <a:rPr lang="en-IN" b="1"/>
            <a:t>Month Name</a:t>
          </a:r>
          <a:r>
            <a:rPr lang="en-IN"/>
            <a:t> from the appointment_date (e.g., using =TEXT(A2, "mmmm")).</a:t>
          </a:r>
        </a:p>
        <a:p>
          <a:r>
            <a:rPr lang="en-IN" b="1"/>
            <a:t>		Goal:</a:t>
          </a:r>
          <a:r>
            <a:rPr lang="en-IN"/>
            <a:t> Create a count of how many appointments occurred in </a:t>
          </a:r>
          <a:r>
            <a:rPr lang="en-IN" b="1"/>
            <a:t>April</a:t>
          </a:r>
          <a:r>
            <a:rPr lang="en-IN"/>
            <a:t>.</a:t>
          </a:r>
        </a:p>
        <a:p>
          <a:r>
            <a:rPr lang="en-IN" b="1"/>
            <a:t>		Answer :</a:t>
          </a:r>
          <a:r>
            <a:rPr lang="en-IN"/>
            <a:t> There were </a:t>
          </a:r>
          <a:r>
            <a:rPr lang="en-IN" b="1"/>
            <a:t>25</a:t>
          </a:r>
          <a:r>
            <a:rPr lang="en-IN"/>
            <a:t> appointments in April.</a:t>
          </a:r>
        </a:p>
        <a:p>
          <a:r>
            <a:rPr lang="en-IN" b="1"/>
            <a:t>Part 4: Advanced Challenge</a:t>
          </a:r>
        </a:p>
        <a:p>
          <a:r>
            <a:rPr lang="en-IN" b="1"/>
            <a:t>	Question 8: Revenue by Specialization</a:t>
          </a:r>
          <a:endParaRPr lang="en-IN"/>
        </a:p>
        <a:p>
          <a:r>
            <a:rPr lang="en-IN" b="1"/>
            <a:t>		Task:</a:t>
          </a:r>
          <a:r>
            <a:rPr lang="en-IN"/>
            <a:t> Calculate the total billed amount for each </a:t>
          </a:r>
          <a:r>
            <a:rPr lang="en-IN" b="1"/>
            <a:t>Medical Specialization</a:t>
          </a:r>
          <a:r>
            <a:rPr lang="en-IN"/>
            <a:t>.</a:t>
          </a:r>
        </a:p>
        <a:p>
          <a:r>
            <a:rPr lang="en-IN" b="1"/>
            <a:t>		Hint:</a:t>
          </a:r>
          <a:r>
            <a:rPr lang="en-IN"/>
            <a:t> This requires linking three tables:</a:t>
          </a:r>
        </a:p>
        <a:p>
          <a:pPr lvl="1"/>
          <a:r>
            <a:rPr lang="en-IN"/>
            <a:t>		Billing (to get the amount and treatment ID)</a:t>
          </a:r>
        </a:p>
        <a:p>
          <a:pPr lvl="1"/>
          <a:r>
            <a:rPr lang="en-IN"/>
            <a:t>		Treatments (to link treatment ID to appointment ID)</a:t>
          </a:r>
        </a:p>
        <a:p>
          <a:pPr lvl="1"/>
          <a:r>
            <a:rPr lang="en-IN"/>
            <a:t>		Appointments (to link appointment ID to doctor ID)</a:t>
          </a:r>
        </a:p>
        <a:p>
          <a:pPr lvl="1"/>
          <a:r>
            <a:rPr lang="en-IN"/>
            <a:t>		Doctors (to link doctor ID to specialization)</a:t>
          </a:r>
        </a:p>
        <a:p>
          <a:r>
            <a:rPr lang="en-IN" b="1"/>
            <a:t>	Answer to Verify:</a:t>
          </a:r>
          <a:endParaRPr lang="en-IN"/>
        </a:p>
        <a:p>
          <a:pPr lvl="1"/>
          <a:r>
            <a:rPr lang="en-IN" b="1"/>
            <a:t>		Pediatrics:</a:t>
          </a:r>
          <a:r>
            <a:rPr lang="en-IN"/>
            <a:t> 258,937.83</a:t>
          </a:r>
        </a:p>
        <a:p>
          <a:pPr lvl="1"/>
          <a:r>
            <a:rPr lang="en-IN" b="1"/>
            <a:t>		Dermatology:</a:t>
          </a:r>
          <a:r>
            <a:rPr lang="en-IN"/>
            <a:t> 202,709.29</a:t>
          </a:r>
        </a:p>
        <a:p>
          <a:pPr lvl="1"/>
          <a:r>
            <a:rPr lang="en-IN" b="1"/>
            <a:t>		Oncology:</a:t>
          </a:r>
          <a:r>
            <a:rPr lang="en-IN"/>
            <a:t> 89,602.73</a:t>
          </a:r>
        </a:p>
        <a:p>
          <a:endParaRPr lang="en-IN"/>
        </a:p>
        <a:p>
          <a:r>
            <a:rPr lang="en-IN" b="1"/>
            <a:t>	Question 9: Pareto Principle (Revenue Concentration)</a:t>
          </a:r>
          <a:endParaRPr lang="en-IN"/>
        </a:p>
        <a:p>
          <a:r>
            <a:rPr lang="en-IN" b="1"/>
            <a:t>		Scenario:</a:t>
          </a:r>
          <a:r>
            <a:rPr lang="en-IN"/>
            <a:t> The hospital management wants to know how much of their revenue comes from their top "VIP" patients.</a:t>
          </a:r>
        </a:p>
        <a:p>
          <a:r>
            <a:rPr lang="en-IN" b="1"/>
            <a:t>		Task:</a:t>
          </a:r>
          <a:r>
            <a:rPr lang="en-IN"/>
            <a:t> Calculate the percentage of </a:t>
          </a:r>
          <a:r>
            <a:rPr lang="en-IN" b="1"/>
            <a:t>Total Revenue</a:t>
          </a:r>
          <a:r>
            <a:rPr lang="en-IN"/>
            <a:t> that comes from the </a:t>
          </a:r>
          <a:r>
            <a:rPr lang="en-IN" b="1"/>
            <a:t>Top 10% of Patients</a:t>
          </a:r>
          <a:r>
            <a:rPr lang="en-IN"/>
            <a:t> (the top 5 highest-spending patients out of 50).</a:t>
          </a:r>
        </a:p>
        <a:p>
          <a:r>
            <a:rPr lang="en-IN" b="1"/>
            <a:t>	</a:t>
          </a:r>
          <a:r>
            <a:rPr lang="en-IN" b="1" baseline="0"/>
            <a:t>            </a:t>
          </a:r>
          <a:endParaRPr lang="en-IN"/>
        </a:p>
        <a:p>
          <a:pPr lvl="1"/>
          <a:r>
            <a:rPr lang="en-IN" b="1"/>
            <a:t>		Answer</a:t>
          </a:r>
          <a:r>
            <a:rPr lang="en-IN" b="1" baseline="0"/>
            <a:t> </a:t>
          </a:r>
          <a:r>
            <a:rPr lang="en-IN" b="1"/>
            <a:t>:</a:t>
          </a:r>
          <a:r>
            <a:rPr lang="en-IN"/>
            <a:t> The top 5 patients account for approximately </a:t>
          </a:r>
          <a:r>
            <a:rPr lang="en-IN" b="1"/>
            <a:t>21.35</a:t>
          </a:r>
          <a:r>
            <a:rPr lang="en-IN" b="1" baseline="0"/>
            <a:t> </a:t>
          </a:r>
          <a:r>
            <a:rPr lang="en-IN" b="1"/>
            <a:t>%</a:t>
          </a:r>
          <a:r>
            <a:rPr lang="en-IN"/>
            <a:t> of the total revenue</a:t>
          </a:r>
        </a:p>
        <a:p>
          <a:pPr lvl="1"/>
          <a:endParaRPr lang="en-IN"/>
        </a:p>
        <a:p>
          <a:r>
            <a:rPr lang="en-IN" b="1"/>
            <a:t>	Question 10: "Golden" Patient Identification</a:t>
          </a:r>
          <a:endParaRPr lang="en-IN"/>
        </a:p>
        <a:p>
          <a:r>
            <a:rPr lang="en-IN" b="1"/>
            <a:t>		Scenario:</a:t>
          </a:r>
          <a:r>
            <a:rPr lang="en-IN"/>
            <a:t> We need to identify high-value patients, but we want to exclude "one-hit wonders" (patients who visited once, paid a lot, and never returned).</a:t>
          </a:r>
        </a:p>
        <a:p>
          <a:r>
            <a:rPr lang="en-IN" b="1"/>
            <a:t>		Task:</a:t>
          </a:r>
          <a:r>
            <a:rPr lang="en-IN"/>
            <a:t> Identify the patient with the </a:t>
          </a:r>
          <a:r>
            <a:rPr lang="en-IN" b="1"/>
            <a:t>highest Average Spend per Appointment</a:t>
          </a:r>
          <a:r>
            <a:rPr lang="en-IN"/>
            <a:t>, but </a:t>
          </a:r>
          <a:r>
            <a:rPr lang="en-IN" b="1"/>
            <a:t>ONLY</a:t>
          </a:r>
          <a:r>
            <a:rPr lang="en-IN"/>
            <a:t> consider patients who have had </a:t>
          </a:r>
          <a:r>
            <a:rPr lang="en-IN" b="1"/>
            <a:t>at least 3 appointments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		Answer :</a:t>
          </a:r>
          <a:r>
            <a:rPr lang="en-IN"/>
            <a:t> The patient is </a:t>
          </a:r>
          <a:r>
            <a:rPr lang="en-IN" b="1"/>
            <a:t>Alex Taylor</a:t>
          </a:r>
          <a:r>
            <a:rPr lang="en-IN"/>
            <a:t> (ID: P014) with an average spend of approximately </a:t>
          </a:r>
          <a:r>
            <a:rPr lang="en-IN" b="1"/>
            <a:t>4,412.06</a:t>
          </a:r>
          <a:r>
            <a:rPr lang="en-IN"/>
            <a:t>.</a:t>
          </a:r>
        </a:p>
        <a:p>
          <a:endParaRPr lang="en-IN"/>
        </a:p>
        <a:p>
          <a:pPr rtl="0"/>
          <a:r>
            <a:rPr lang="en-IN" b="1">
              <a:effectLst/>
            </a:rPr>
            <a:t>	Question 11: Operational Efficiency (Billing Lag)</a:t>
          </a:r>
          <a:endParaRPr lang="en-IN">
            <a:effectLst/>
          </a:endParaRPr>
        </a:p>
        <a:p>
          <a:pPr rtl="0"/>
          <a:r>
            <a:rPr lang="en-IN" b="1">
              <a:effectLst/>
            </a:rPr>
            <a:t>		Scenario:</a:t>
          </a:r>
          <a:r>
            <a:rPr lang="en-IN">
              <a:effectLst/>
            </a:rPr>
            <a:t> The finance team suspects some doctors' appointments are taking too long to process into bills.</a:t>
          </a:r>
        </a:p>
        <a:p>
          <a:pPr rtl="0"/>
          <a:r>
            <a:rPr lang="en-IN" b="1">
              <a:effectLst/>
            </a:rPr>
            <a:t>		Task:</a:t>
          </a:r>
          <a:r>
            <a:rPr lang="en-IN">
              <a:effectLst/>
            </a:rPr>
            <a:t> Calculate the average "Lag Time" (in days) between the appointment_date and the bill_date for each Doctor.</a:t>
          </a:r>
        </a:p>
        <a:p>
          <a:pPr rtl="0"/>
          <a:r>
            <a:rPr lang="en-IN" b="1">
              <a:effectLst/>
            </a:rPr>
            <a:t>		Hint:</a:t>
          </a:r>
          <a:r>
            <a:rPr lang="en-IN">
              <a:effectLst/>
            </a:rPr>
            <a:t> You must link Billing → Treatments → Appointments to compare the dates.</a:t>
          </a:r>
        </a:p>
        <a:p>
          <a:pPr rtl="0"/>
          <a:r>
            <a:rPr lang="en-IN" b="1">
              <a:effectLst/>
            </a:rPr>
            <a:t>		Answer :</a:t>
          </a:r>
          <a:r>
            <a:rPr lang="en-IN" b="1" baseline="0">
              <a:effectLst/>
            </a:rPr>
            <a:t> </a:t>
          </a:r>
          <a:r>
            <a:rPr lang="en-IN">
              <a:effectLst/>
            </a:rPr>
            <a:t> You will find that the lag is </a:t>
          </a:r>
          <a:r>
            <a:rPr lang="en-IN" b="1">
              <a:effectLst/>
            </a:rPr>
            <a:t>0 days</a:t>
          </a:r>
          <a:r>
            <a:rPr lang="en-IN">
              <a:effectLst/>
            </a:rPr>
            <a:t> for everyone (billing happens same-day). </a:t>
          </a:r>
          <a:r>
            <a:rPr lang="en-IN" i="1">
              <a:effectLst/>
            </a:rPr>
            <a:t>If this were real data, finding a non-zero lag is a critical KPI!</a:t>
          </a:r>
        </a:p>
        <a:p>
          <a:pPr rtl="0"/>
          <a:endParaRPr lang="en-IN">
            <a:effectLst/>
          </a:endParaRPr>
        </a:p>
        <a:p>
          <a:pPr rtl="0"/>
          <a:r>
            <a:rPr lang="en-IN" b="1">
              <a:effectLst/>
            </a:rPr>
            <a:t>	Question 12: Multi-Criteria Lookup (The "Max Cash" Event)</a:t>
          </a:r>
          <a:endParaRPr lang="en-IN">
            <a:effectLst/>
          </a:endParaRPr>
        </a:p>
        <a:p>
          <a:pPr rtl="0"/>
          <a:r>
            <a:rPr lang="en-IN" b="1">
              <a:effectLst/>
            </a:rPr>
            <a:t>		Scenario:</a:t>
          </a:r>
          <a:r>
            <a:rPr lang="en-IN">
              <a:effectLst/>
            </a:rPr>
            <a:t> You need to audit the largest cash transaction.</a:t>
          </a:r>
        </a:p>
        <a:p>
          <a:pPr rtl="0"/>
          <a:r>
            <a:rPr lang="en-IN" b="1">
              <a:effectLst/>
            </a:rPr>
            <a:t>		Task:</a:t>
          </a:r>
          <a:r>
            <a:rPr lang="en-IN">
              <a:effectLst/>
            </a:rPr>
            <a:t> Find the </a:t>
          </a:r>
          <a:r>
            <a:rPr lang="en-IN" b="1">
              <a:effectLst/>
            </a:rPr>
            <a:t>Treatment Description</a:t>
          </a:r>
          <a:r>
            <a:rPr lang="en-IN">
              <a:effectLst/>
            </a:rPr>
            <a:t> for the single highest bill that was paid using </a:t>
          </a:r>
          <a:r>
            <a:rPr lang="en-IN" b="1">
              <a:effectLst/>
            </a:rPr>
            <a:t>"Cash"</a:t>
          </a:r>
          <a:r>
            <a:rPr lang="en-IN">
              <a:effectLst/>
            </a:rPr>
            <a:t>.</a:t>
          </a:r>
        </a:p>
        <a:p>
          <a:pPr rtl="0"/>
          <a:r>
            <a:rPr lang="en-IN" b="1">
              <a:effectLst/>
            </a:rPr>
            <a:t>		Formula Challenge:</a:t>
          </a:r>
          <a:r>
            <a:rPr lang="en-IN">
              <a:effectLst/>
            </a:rPr>
            <a:t> This requires filtering for "Cash" first, finding the MAX amount, and then looking up the description associated with that specific transaction.</a:t>
          </a:r>
        </a:p>
        <a:p>
          <a:pPr rtl="0"/>
          <a:r>
            <a:rPr lang="en-IN" b="1">
              <a:effectLst/>
            </a:rPr>
            <a:t>		Answer :</a:t>
          </a:r>
          <a:r>
            <a:rPr lang="en-IN">
              <a:effectLst/>
            </a:rPr>
            <a:t>The treatment description is </a:t>
          </a:r>
          <a:r>
            <a:rPr lang="en-IN" b="1">
              <a:effectLst/>
            </a:rPr>
            <a:t>"Advanced protocol"</a:t>
          </a:r>
          <a:r>
            <a:rPr lang="en-IN">
              <a:effectLst/>
            </a:rPr>
            <a:t> (Amount: $4,973.63).</a:t>
          </a:r>
        </a:p>
        <a:p>
          <a:endParaRPr lang="en-IN"/>
        </a:p>
        <a:p>
          <a:r>
            <a:rPr lang="en-IN" b="1"/>
            <a:t>Part 5: Master Class Questions</a:t>
          </a:r>
        </a:p>
        <a:p>
          <a:r>
            <a:rPr lang="en-IN"/>
            <a:t>	Here are two more questions that mix </a:t>
          </a:r>
          <a:r>
            <a:rPr lang="en-IN" b="1"/>
            <a:t>Date Intelligence</a:t>
          </a:r>
          <a:r>
            <a:rPr lang="en-IN"/>
            <a:t> with </a:t>
          </a:r>
          <a:r>
            <a:rPr lang="en-IN" b="1"/>
            <a:t>Business Strategy</a:t>
          </a:r>
          <a:r>
            <a:rPr lang="en-IN"/>
            <a:t>.</a:t>
          </a:r>
        </a:p>
        <a:p>
          <a:endParaRPr lang="en-IN"/>
        </a:p>
        <a:p>
          <a:r>
            <a:rPr lang="en-IN" b="1"/>
            <a:t>	Question 13: Patient Loyalty Analysis (New vs. Existing)</a:t>
          </a:r>
          <a:endParaRPr lang="en-IN"/>
        </a:p>
        <a:p>
          <a:r>
            <a:rPr lang="en-IN" b="1"/>
            <a:t>		Scenario:</a:t>
          </a:r>
          <a:r>
            <a:rPr lang="en-IN"/>
            <a:t> The marketing team wants to know if the hospital is growing due to new ads (New Patients) or if it relies on long-term customers (Existing Patients).</a:t>
          </a:r>
        </a:p>
        <a:p>
          <a:r>
            <a:rPr lang="en-IN" b="1"/>
            <a:t>		Task:</a:t>
          </a:r>
          <a:r>
            <a:rPr lang="en-IN"/>
            <a:t> Calculate the total revenue split between:</a:t>
          </a:r>
        </a:p>
        <a:p>
          <a:pPr lvl="1"/>
          <a:r>
            <a:rPr lang="en-IN" b="1"/>
            <a:t>		New Patients:</a:t>
          </a:r>
          <a:r>
            <a:rPr lang="en-IN"/>
            <a:t> Registered in </a:t>
          </a:r>
          <a:r>
            <a:rPr lang="en-IN" b="1"/>
            <a:t>2023</a:t>
          </a:r>
          <a:r>
            <a:rPr lang="en-IN"/>
            <a:t>.</a:t>
          </a:r>
        </a:p>
        <a:p>
          <a:pPr lvl="1"/>
          <a:r>
            <a:rPr lang="en-IN" b="1"/>
            <a:t>		Existing Patients:</a:t>
          </a:r>
          <a:r>
            <a:rPr lang="en-IN"/>
            <a:t> Registered </a:t>
          </a:r>
          <a:r>
            <a:rPr lang="en-IN" b="1"/>
            <a:t>before 2023</a:t>
          </a:r>
          <a:r>
            <a:rPr lang="en-IN"/>
            <a:t>.</a:t>
          </a:r>
        </a:p>
        <a:p>
          <a:r>
            <a:rPr lang="en-IN" b="1"/>
            <a:t>		Hint:</a:t>
          </a:r>
          <a:r>
            <a:rPr lang="en-IN"/>
            <a:t> You will need to add a "Year" column to the patients.csv or use VLOOKUP inside a SUMIF.</a:t>
          </a:r>
        </a:p>
        <a:p>
          <a:r>
            <a:rPr lang="en-IN" b="1"/>
            <a:t>		Answer </a:t>
          </a:r>
          <a:endParaRPr lang="en-IN"/>
        </a:p>
        <a:p>
          <a:pPr lvl="1"/>
          <a:r>
            <a:rPr lang="en-IN" b="1"/>
            <a:t>		Existing (Pre-2023):</a:t>
          </a:r>
          <a:r>
            <a:rPr lang="en-IN" b="0" baseline="0"/>
            <a:t> </a:t>
          </a:r>
          <a:r>
            <a:rPr lang="en-IN"/>
            <a:t>377,086</a:t>
          </a:r>
        </a:p>
        <a:p>
          <a:pPr lvl="1"/>
          <a:r>
            <a:rPr lang="en-IN" b="1"/>
            <a:t>		New (2023):</a:t>
          </a:r>
          <a:r>
            <a:rPr lang="en-IN"/>
            <a:t> </a:t>
          </a:r>
          <a:r>
            <a:rPr lang="en-IN" baseline="0"/>
            <a:t> </a:t>
          </a:r>
          <a:r>
            <a:rPr lang="en-IN"/>
            <a:t>174,163</a:t>
          </a:r>
        </a:p>
        <a:p>
          <a:pPr lvl="1"/>
          <a:endParaRPr lang="en-IN"/>
        </a:p>
        <a:p>
          <a:r>
            <a:rPr lang="en-IN" b="1"/>
            <a:t>	Question 14: Resource Planning (The "Rush Hour")</a:t>
          </a:r>
          <a:endParaRPr lang="en-IN"/>
        </a:p>
        <a:p>
          <a:r>
            <a:rPr lang="en-IN" b="1"/>
            <a:t>		Scenario:</a:t>
          </a:r>
          <a:r>
            <a:rPr lang="en-IN"/>
            <a:t> The front desk complains about being overwhelmed at certain times of the day.</a:t>
          </a:r>
        </a:p>
        <a:p>
          <a:r>
            <a:rPr lang="en-IN" b="1"/>
            <a:t>		Task:</a:t>
          </a:r>
          <a:r>
            <a:rPr lang="en-IN"/>
            <a:t> Identify which </a:t>
          </a:r>
          <a:r>
            <a:rPr lang="en-IN" b="1"/>
            <a:t>Hour of the Day</a:t>
          </a:r>
          <a:r>
            <a:rPr lang="en-IN"/>
            <a:t> has the highest number of scheduled appointments.</a:t>
          </a:r>
        </a:p>
        <a:p>
          <a:r>
            <a:rPr lang="en-IN" b="1"/>
            <a:t>			Steps:</a:t>
          </a:r>
          <a:endParaRPr lang="en-IN"/>
        </a:p>
        <a:p>
          <a:pPr lvl="1"/>
          <a:r>
            <a:rPr lang="en-IN"/>
            <a:t>				In appointments.csv, use the HOUR() function on the appointment_time column.</a:t>
          </a:r>
        </a:p>
        <a:p>
          <a:pPr lvl="1"/>
          <a:r>
            <a:rPr lang="en-IN"/>
            <a:t>				Use a Pivot Table to count appointments per hour.</a:t>
          </a:r>
        </a:p>
        <a:p>
          <a:r>
            <a:rPr lang="en-IN" b="1"/>
            <a:t>		Answer :</a:t>
          </a:r>
          <a:r>
            <a:rPr lang="en-IN"/>
            <a:t> The busiest time is </a:t>
          </a:r>
          <a:r>
            <a:rPr lang="en-IN" b="1"/>
            <a:t>15:00 (3 PM)</a:t>
          </a:r>
          <a:r>
            <a:rPr lang="en-IN"/>
            <a:t> with </a:t>
          </a:r>
          <a:r>
            <a:rPr lang="en-IN" b="1"/>
            <a:t>28</a:t>
          </a:r>
          <a:r>
            <a:rPr lang="en-IN"/>
            <a:t> appointments.</a:t>
          </a:r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pPr lvl="1"/>
          <a:endParaRPr lang="en-IN"/>
        </a:p>
        <a:p>
          <a:endParaRPr lang="en-IN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8.775258449074" createdVersion="6" refreshedVersion="8" minRefreshableVersion="3" recordCount="200" xr:uid="{00000000-000A-0000-FFFF-FFFF06000000}">
  <cacheSource type="worksheet">
    <worksheetSource name="Belling"/>
  </cacheSource>
  <cacheFields count="16">
    <cacheField name="bill_id" numFmtId="0">
      <sharedItems/>
    </cacheField>
    <cacheField name="patient_id" numFmtId="0">
      <sharedItems/>
    </cacheField>
    <cacheField name="treatment_id" numFmtId="0">
      <sharedItems/>
    </cacheField>
    <cacheField name="Appointment ID" numFmtId="0">
      <sharedItems/>
    </cacheField>
    <cacheField name="Docter_id" numFmtId="0">
      <sharedItems/>
    </cacheField>
    <cacheField name="Dpctor_name " numFmtId="0">
      <sharedItems count="6">
        <s v="Sarah"/>
        <s v="David"/>
        <s v="Alex"/>
        <s v="Jane"/>
        <s v="Robert"/>
        <s v="Linda"/>
      </sharedItems>
    </cacheField>
    <cacheField name="Appointment_date" numFmtId="14">
      <sharedItems containsSemiMixedTypes="0" containsNonDate="0" containsDate="1" containsString="0" minDate="2023-01-01T00:00:00" maxDate="2023-12-31T00:00:00"/>
    </cacheField>
    <cacheField name="bill_date" numFmtId="14">
      <sharedItems containsSemiMixedTypes="0" containsNonDate="0" containsDate="1" containsString="0" minDate="2023-01-01T00:00:00" maxDate="2023-12-31T00:00:00"/>
    </cacheField>
    <cacheField name="amount" numFmtId="0">
      <sharedItems containsSemiMixedTypes="0" containsString="0" containsNumber="1" minValue="534.03" maxValue="4973.63"/>
    </cacheField>
    <cacheField name="payment_method" numFmtId="0">
      <sharedItems/>
    </cacheField>
    <cacheField name="payment_status" numFmtId="0">
      <sharedItems/>
    </cacheField>
    <cacheField name="Provider" numFmtId="0">
      <sharedItems/>
    </cacheField>
    <cacheField name="Audit_Status" numFmtId="0">
      <sharedItems/>
    </cacheField>
    <cacheField name="Specialization" numFmtId="0">
      <sharedItems count="3">
        <s v="Pediatrics"/>
        <s v="Oncology"/>
        <s v="Dermatology"/>
      </sharedItems>
    </cacheField>
    <cacheField name="Lag_day" numFmtId="0">
      <sharedItems containsSemiMixedTypes="0" containsString="0" containsNumber="1" containsInteger="1" minValue="-294" maxValue="323"/>
    </cacheField>
    <cacheField name="Patient Reg Year" numFmtId="0">
      <sharedItems containsSemiMixedTypes="0" containsString="0" containsNumber="1" containsInteger="1" minValue="1950" maxValue="2023" count="38">
        <n v="2023"/>
        <n v="2021"/>
        <n v="2022"/>
        <n v="1950" u="1"/>
        <n v="1981" u="1"/>
        <n v="1983" u="1"/>
        <n v="1966" u="1"/>
        <n v="1972" u="1"/>
        <n v="1955" u="1"/>
        <n v="2000" u="1"/>
        <n v="1960" u="1"/>
        <n v="2005" u="1"/>
        <n v="1977" u="1"/>
        <n v="1991" u="1"/>
        <n v="2003" u="1"/>
        <n v="1999" u="1"/>
        <n v="1968" u="1"/>
        <n v="1993" u="1"/>
        <n v="1995" u="1"/>
        <n v="1964" u="1"/>
        <n v="1986" u="1"/>
        <n v="2002" u="1"/>
        <n v="1997" u="1"/>
        <n v="1970" u="1"/>
        <n v="1994" u="1"/>
        <n v="2001" u="1"/>
        <n v="1987" u="1"/>
        <n v="1975" u="1"/>
        <n v="1984" u="1"/>
        <n v="1998" u="1"/>
        <n v="1980" u="1"/>
        <n v="1976" u="1"/>
        <n v="1990" u="1"/>
        <n v="1951" u="1"/>
        <n v="1989" u="1"/>
        <n v="1971" u="1"/>
        <n v="1979" u="1"/>
        <n v="195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8.818274074074" createdVersion="8" refreshedVersion="8" minRefreshableVersion="3" recordCount="200" xr:uid="{DCC81557-AD9C-4C88-9662-4D4642C65522}">
  <cacheSource type="worksheet">
    <worksheetSource name="Appointment"/>
  </cacheSource>
  <cacheFields count="10">
    <cacheField name="appointment_id" numFmtId="0">
      <sharedItems/>
    </cacheField>
    <cacheField name="patient_id" numFmtId="0">
      <sharedItems/>
    </cacheField>
    <cacheField name="doctor_id" numFmtId="0">
      <sharedItems/>
    </cacheField>
    <cacheField name="Doctor_Name" numFmtId="0">
      <sharedItems/>
    </cacheField>
    <cacheField name="appointment_date" numFmtId="14">
      <sharedItems containsSemiMixedTypes="0" containsNonDate="0" containsDate="1" containsString="0" minDate="2023-01-01T00:00:00" maxDate="2023-12-31T00:00:00"/>
    </cacheField>
    <cacheField name="appointment_time" numFmtId="170">
      <sharedItems containsSemiMixedTypes="0" containsNonDate="0" containsDate="1" containsString="0" minDate="1899-12-30T08:00:00" maxDate="1899-12-30T17:45:00" count="40">
        <d v="1899-12-30T15:15:00"/>
        <d v="1899-12-30T14:30:00"/>
        <d v="1899-12-30T08:00:00"/>
        <d v="1899-12-30T09:15:00"/>
        <d v="1899-12-30T12:45:00"/>
        <d v="1899-12-30T16:15:00"/>
        <d v="1899-12-30T10:30:00"/>
        <d v="1899-12-30T08:45:00"/>
        <d v="1899-12-30T13:45:00"/>
        <d v="1899-12-30T15:30:00"/>
        <d v="1899-12-30T16:00:00"/>
        <d v="1899-12-30T10:00:00"/>
        <d v="1899-12-30T12:00:00"/>
        <d v="1899-12-30T17:15:00"/>
        <d v="1899-12-30T11:00:00"/>
        <d v="1899-12-30T17:00:00"/>
        <d v="1899-12-30T09:45:00"/>
        <d v="1899-12-30T13:00:00"/>
        <d v="1899-12-30T14:15:00"/>
        <d v="1899-12-30T13:15:00"/>
        <d v="1899-12-30T10:45:00"/>
        <d v="1899-12-30T17:45:00"/>
        <d v="1899-12-30T11:30:00"/>
        <d v="1899-12-30T12:30:00"/>
        <d v="1899-12-30T14:00:00"/>
        <d v="1899-12-30T11:15:00"/>
        <d v="1899-12-30T15:45:00"/>
        <d v="1899-12-30T15:00:00"/>
        <d v="1899-12-30T11:45:00"/>
        <d v="1899-12-30T09:30:00"/>
        <d v="1899-12-30T17:30:00"/>
        <d v="1899-12-30T09:00:00"/>
        <d v="1899-12-30T08:30:00"/>
        <d v="1899-12-30T13:30:00"/>
        <d v="1899-12-30T12:15:00"/>
        <d v="1899-12-30T16:30:00"/>
        <d v="1899-12-30T10:15:00"/>
        <d v="1899-12-30T14:45:00"/>
        <d v="1899-12-30T08:15:00"/>
        <d v="1899-12-30T16:45:00"/>
      </sharedItems>
    </cacheField>
    <cacheField name="reason_for_visit" numFmtId="0">
      <sharedItems/>
    </cacheField>
    <cacheField name="status" numFmtId="0">
      <sharedItems/>
    </cacheField>
    <cacheField name="Month_name" numFmtId="0">
      <sharedItems/>
    </cacheField>
    <cacheField name="Column1" numFmtId="0">
      <sharedItems containsSemiMixedTypes="0" containsString="0" containsNumber="1" containsInteger="1" minValue="8" maxValue="17" count="10">
        <n v="15"/>
        <n v="14"/>
        <n v="8"/>
        <n v="9"/>
        <n v="12"/>
        <n v="16"/>
        <n v="10"/>
        <n v="13"/>
        <n v="17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B001"/>
    <s v="P034"/>
    <s v="T001"/>
    <s v="A001"/>
    <s v="D009"/>
    <x v="0"/>
    <d v="2023-08-09T00:00:00"/>
    <d v="2023-09-08T00:00:00"/>
    <n v="3941.97"/>
    <s v="Insurance"/>
    <s v="Pending"/>
    <s v="WellnessCorp"/>
    <s v="Check Required"/>
    <x v="0"/>
    <n v="30"/>
    <x v="0"/>
  </r>
  <r>
    <s v="B002"/>
    <s v="P032"/>
    <s v="T002"/>
    <s v="A002"/>
    <s v="D004"/>
    <x v="1"/>
    <d v="2023-06-09T00:00:00"/>
    <d v="2023-09-06T00:00:00"/>
    <n v="4158.4399999999996"/>
    <s v="Insurance"/>
    <s v="Paid"/>
    <s v="MedCare Plus"/>
    <s v="Clear"/>
    <x v="0"/>
    <n v="89"/>
    <x v="1"/>
  </r>
  <r>
    <s v="B003"/>
    <s v="P048"/>
    <s v="T003"/>
    <s v="A003"/>
    <s v="D004"/>
    <x v="1"/>
    <d v="2023-06-28T00:00:00"/>
    <d v="2023-06-28T00:00:00"/>
    <n v="3731.55"/>
    <s v="Insurance"/>
    <s v="Paid"/>
    <s v="PulseSecure"/>
    <s v="Clear"/>
    <x v="0"/>
    <n v="0"/>
    <x v="0"/>
  </r>
  <r>
    <s v="B004"/>
    <s v="P025"/>
    <s v="T004"/>
    <s v="A004"/>
    <s v="D006"/>
    <x v="2"/>
    <d v="2023-09-01T00:00:00"/>
    <d v="2023-01-09T00:00:00"/>
    <n v="4799.8599999999997"/>
    <s v="Insurance"/>
    <s v="Failed"/>
    <s v="HealthIndia"/>
    <s v="Check Required"/>
    <x v="0"/>
    <n v="-235"/>
    <x v="1"/>
  </r>
  <r>
    <s v="B005"/>
    <s v="P040"/>
    <s v="T005"/>
    <s v="A005"/>
    <s v="D003"/>
    <x v="3"/>
    <d v="2023-07-06T00:00:00"/>
    <d v="2023-06-07T00:00:00"/>
    <n v="582.04999999999995"/>
    <s v="Credit Card"/>
    <s v="Pending"/>
    <s v="PulseSecure"/>
    <s v="Check Required"/>
    <x v="0"/>
    <n v="-29"/>
    <x v="1"/>
  </r>
  <r>
    <s v="B006"/>
    <s v="P045"/>
    <s v="T006"/>
    <s v="A006"/>
    <s v="D006"/>
    <x v="2"/>
    <d v="2023-06-19T00:00:00"/>
    <d v="2023-06-19T00:00:00"/>
    <n v="1381"/>
    <s v="Insurance"/>
    <s v="Pending"/>
    <s v="MedCare Plus"/>
    <s v="Check Required"/>
    <x v="0"/>
    <n v="0"/>
    <x v="1"/>
  </r>
  <r>
    <s v="B007"/>
    <s v="P001"/>
    <s v="T007"/>
    <s v="A007"/>
    <s v="D007"/>
    <x v="4"/>
    <d v="2023-04-09T00:00:00"/>
    <d v="2023-09-04T00:00:00"/>
    <n v="534.03"/>
    <s v="Cash"/>
    <s v="Failed"/>
    <s v="WellnessCorp"/>
    <s v="Check Required"/>
    <x v="1"/>
    <n v="148"/>
    <x v="2"/>
  </r>
  <r>
    <s v="B008"/>
    <s v="P016"/>
    <s v="T008"/>
    <s v="A008"/>
    <s v="D010"/>
    <x v="5"/>
    <d v="2023-05-24T00:00:00"/>
    <d v="2023-05-24T00:00:00"/>
    <n v="3413.64"/>
    <s v="Cash"/>
    <s v="Failed"/>
    <s v="PulseSecure"/>
    <s v="Check Required"/>
    <x v="1"/>
    <n v="0"/>
    <x v="1"/>
  </r>
  <r>
    <s v="B009"/>
    <s v="P039"/>
    <s v="T009"/>
    <s v="A009"/>
    <s v="D010"/>
    <x v="5"/>
    <d v="2023-03-05T00:00:00"/>
    <d v="2023-05-03T00:00:00"/>
    <n v="4541.1400000000003"/>
    <s v="Credit Card"/>
    <s v="Paid"/>
    <s v="PulseSecure"/>
    <s v="Clear"/>
    <x v="1"/>
    <n v="59"/>
    <x v="1"/>
  </r>
  <r>
    <s v="B010"/>
    <s v="P005"/>
    <s v="T010"/>
    <s v="A010"/>
    <s v="D003"/>
    <x v="3"/>
    <d v="2023-01-13T00:00:00"/>
    <d v="2023-01-13T00:00:00"/>
    <n v="1595.67"/>
    <s v="Cash"/>
    <s v="Paid"/>
    <s v="MedCare Plus"/>
    <s v="Clear"/>
    <x v="0"/>
    <n v="0"/>
    <x v="1"/>
  </r>
  <r>
    <s v="B011"/>
    <s v="P022"/>
    <s v="T011"/>
    <s v="A011"/>
    <s v="D007"/>
    <x v="4"/>
    <d v="2023-11-12T00:00:00"/>
    <d v="2023-12-11T00:00:00"/>
    <n v="4671.66"/>
    <s v="Cash"/>
    <s v="Failed"/>
    <s v="MedCare Plus"/>
    <s v="Check Required"/>
    <x v="1"/>
    <n v="29"/>
    <x v="1"/>
  </r>
  <r>
    <s v="B012"/>
    <s v="P029"/>
    <s v="T012"/>
    <s v="A012"/>
    <s v="D003"/>
    <x v="3"/>
    <d v="2023-05-07T00:00:00"/>
    <d v="2023-07-05T00:00:00"/>
    <n v="771.2"/>
    <s v="Insurance"/>
    <s v="Pending"/>
    <s v="HealthIndia"/>
    <s v="Check Required"/>
    <x v="0"/>
    <n v="59"/>
    <x v="0"/>
  </r>
  <r>
    <s v="B013"/>
    <s v="P003"/>
    <s v="T013"/>
    <s v="A013"/>
    <s v="D002"/>
    <x v="3"/>
    <d v="2023-08-16T00:00:00"/>
    <d v="2023-08-16T00:00:00"/>
    <n v="4704.96"/>
    <s v="Cash"/>
    <s v="Paid"/>
    <s v="PulseSecure"/>
    <s v="Clear"/>
    <x v="0"/>
    <n v="0"/>
    <x v="2"/>
  </r>
  <r>
    <s v="B014"/>
    <s v="P012"/>
    <s v="T014"/>
    <s v="A014"/>
    <s v="D010"/>
    <x v="5"/>
    <d v="2023-05-25T00:00:00"/>
    <d v="2023-05-25T00:00:00"/>
    <n v="2082.3000000000002"/>
    <s v="Credit Card"/>
    <s v="Paid"/>
    <s v="MedCare Plus"/>
    <s v="Clear"/>
    <x v="1"/>
    <n v="0"/>
    <x v="0"/>
  </r>
  <r>
    <s v="B015"/>
    <s v="P026"/>
    <s v="T015"/>
    <s v="A015"/>
    <s v="D004"/>
    <x v="1"/>
    <d v="2023-01-15T00:00:00"/>
    <d v="2023-01-15T00:00:00"/>
    <n v="956.39"/>
    <s v="Insurance"/>
    <s v="Pending"/>
    <s v="MedCare Plus"/>
    <s v="Check Required"/>
    <x v="0"/>
    <n v="0"/>
    <x v="1"/>
  </r>
  <r>
    <s v="B016"/>
    <s v="P016"/>
    <s v="T016"/>
    <s v="A016"/>
    <s v="D008"/>
    <x v="5"/>
    <d v="2023-06-30T00:00:00"/>
    <d v="2023-06-30T00:00:00"/>
    <n v="2686.42"/>
    <s v="Insurance"/>
    <s v="Paid"/>
    <s v="PulseSecure"/>
    <s v="Clear"/>
    <x v="2"/>
    <n v="0"/>
    <x v="1"/>
  </r>
  <r>
    <s v="B017"/>
    <s v="P037"/>
    <s v="T017"/>
    <s v="A017"/>
    <s v="D009"/>
    <x v="0"/>
    <d v="2023-07-11T00:00:00"/>
    <d v="2023-11-07T00:00:00"/>
    <n v="1655.49"/>
    <s v="Credit Card"/>
    <s v="Pending"/>
    <s v="HealthIndia"/>
    <s v="Check Required"/>
    <x v="0"/>
    <n v="119"/>
    <x v="1"/>
  </r>
  <r>
    <s v="B018"/>
    <s v="P022"/>
    <s v="T018"/>
    <s v="A018"/>
    <s v="D007"/>
    <x v="4"/>
    <d v="2023-11-14T00:00:00"/>
    <d v="2023-11-14T00:00:00"/>
    <n v="1781.93"/>
    <s v="Insurance"/>
    <s v="Pending"/>
    <s v="MedCare Plus"/>
    <s v="Check Required"/>
    <x v="1"/>
    <n v="0"/>
    <x v="1"/>
  </r>
  <r>
    <s v="B019"/>
    <s v="P029"/>
    <s v="T019"/>
    <s v="A019"/>
    <s v="D001"/>
    <x v="1"/>
    <d v="2023-02-06T00:00:00"/>
    <d v="2023-06-02T00:00:00"/>
    <n v="1882.8"/>
    <s v="Insurance"/>
    <s v="Pending"/>
    <s v="HealthIndia"/>
    <s v="Check Required"/>
    <x v="2"/>
    <n v="116"/>
    <x v="0"/>
  </r>
  <r>
    <s v="B020"/>
    <s v="P014"/>
    <s v="T020"/>
    <s v="A020"/>
    <s v="D003"/>
    <x v="3"/>
    <d v="2023-12-05T00:00:00"/>
    <d v="2023-05-12T00:00:00"/>
    <n v="4113.62"/>
    <s v="Credit Card"/>
    <s v="Failed"/>
    <s v="MedCare Plus"/>
    <s v="Check Required"/>
    <x v="0"/>
    <n v="-207"/>
    <x v="0"/>
  </r>
  <r>
    <s v="B021"/>
    <s v="P028"/>
    <s v="T021"/>
    <s v="A021"/>
    <s v="D009"/>
    <x v="0"/>
    <d v="2023-04-24T00:00:00"/>
    <d v="2023-04-24T00:00:00"/>
    <n v="2926.23"/>
    <s v="Insurance"/>
    <s v="Failed"/>
    <s v="MedCare Plus"/>
    <s v="Check Required"/>
    <x v="0"/>
    <n v="0"/>
    <x v="0"/>
  </r>
  <r>
    <s v="B022"/>
    <s v="P005"/>
    <s v="T022"/>
    <s v="A022"/>
    <s v="D001"/>
    <x v="1"/>
    <d v="2023-11-14T00:00:00"/>
    <d v="2023-11-14T00:00:00"/>
    <n v="1900.88"/>
    <s v="Credit Card"/>
    <s v="Failed"/>
    <s v="MedCare Plus"/>
    <s v="Check Required"/>
    <x v="2"/>
    <n v="0"/>
    <x v="1"/>
  </r>
  <r>
    <s v="B023"/>
    <s v="P047"/>
    <s v="T023"/>
    <s v="A023"/>
    <s v="D009"/>
    <x v="0"/>
    <d v="2023-05-09T00:00:00"/>
    <d v="2023-09-05T00:00:00"/>
    <n v="3246.5"/>
    <s v="Credit Card"/>
    <s v="Pending"/>
    <s v="WellnessCorp"/>
    <s v="Check Required"/>
    <x v="0"/>
    <n v="119"/>
    <x v="2"/>
  </r>
  <r>
    <s v="B024"/>
    <s v="P049"/>
    <s v="T024"/>
    <s v="A024"/>
    <s v="D008"/>
    <x v="5"/>
    <d v="2023-06-21T00:00:00"/>
    <d v="2023-06-21T00:00:00"/>
    <n v="3722.68"/>
    <s v="Cash"/>
    <s v="Pending"/>
    <s v="MedCare Plus"/>
    <s v="Check Required"/>
    <x v="2"/>
    <n v="0"/>
    <x v="0"/>
  </r>
  <r>
    <s v="B025"/>
    <s v="P030"/>
    <s v="T025"/>
    <s v="A025"/>
    <s v="D001"/>
    <x v="1"/>
    <d v="2023-02-25T00:00:00"/>
    <d v="2023-02-25T00:00:00"/>
    <n v="1726.81"/>
    <s v="Cash"/>
    <s v="Failed"/>
    <s v="PulseSecure"/>
    <s v="Check Required"/>
    <x v="2"/>
    <n v="0"/>
    <x v="1"/>
  </r>
  <r>
    <s v="B026"/>
    <s v="P046"/>
    <s v="T026"/>
    <s v="A026"/>
    <s v="D006"/>
    <x v="2"/>
    <d v="2023-03-17T00:00:00"/>
    <d v="2023-03-17T00:00:00"/>
    <n v="2360.9699999999998"/>
    <s v="Insurance"/>
    <s v="Paid"/>
    <s v="MedCare Plus"/>
    <s v="Clear"/>
    <x v="0"/>
    <n v="0"/>
    <x v="1"/>
  </r>
  <r>
    <s v="B027"/>
    <s v="P005"/>
    <s v="T027"/>
    <s v="A027"/>
    <s v="D005"/>
    <x v="0"/>
    <d v="2023-11-14T00:00:00"/>
    <d v="2023-11-14T00:00:00"/>
    <n v="1048.49"/>
    <s v="Insurance"/>
    <s v="Pending"/>
    <s v="MedCare Plus"/>
    <s v="Check Required"/>
    <x v="2"/>
    <n v="0"/>
    <x v="1"/>
  </r>
  <r>
    <s v="B028"/>
    <s v="P012"/>
    <s v="T028"/>
    <s v="A028"/>
    <s v="D006"/>
    <x v="2"/>
    <d v="2023-10-29T00:00:00"/>
    <d v="2023-10-29T00:00:00"/>
    <n v="1315.17"/>
    <s v="Credit Card"/>
    <s v="Paid"/>
    <s v="MedCare Plus"/>
    <s v="Clear"/>
    <x v="0"/>
    <n v="0"/>
    <x v="0"/>
  </r>
  <r>
    <s v="B029"/>
    <s v="P016"/>
    <s v="T029"/>
    <s v="A029"/>
    <s v="D010"/>
    <x v="5"/>
    <d v="2023-06-25T00:00:00"/>
    <d v="2023-06-25T00:00:00"/>
    <n v="3565.03"/>
    <s v="Insurance"/>
    <s v="Paid"/>
    <s v="PulseSecure"/>
    <s v="Clear"/>
    <x v="1"/>
    <n v="0"/>
    <x v="1"/>
  </r>
  <r>
    <s v="B030"/>
    <s v="P026"/>
    <s v="T030"/>
    <s v="A030"/>
    <s v="D005"/>
    <x v="0"/>
    <d v="2023-08-29T00:00:00"/>
    <d v="2023-08-29T00:00:00"/>
    <n v="1316.47"/>
    <s v="Credit Card"/>
    <s v="Pending"/>
    <s v="MedCare Plus"/>
    <s v="Check Required"/>
    <x v="2"/>
    <n v="0"/>
    <x v="1"/>
  </r>
  <r>
    <s v="B031"/>
    <s v="P026"/>
    <s v="T031"/>
    <s v="A031"/>
    <s v="D006"/>
    <x v="2"/>
    <d v="2023-04-04T00:00:00"/>
    <d v="2023-04-04T00:00:00"/>
    <n v="2863.24"/>
    <s v="Credit Card"/>
    <s v="Pending"/>
    <s v="MedCare Plus"/>
    <s v="Check Required"/>
    <x v="0"/>
    <n v="0"/>
    <x v="1"/>
  </r>
  <r>
    <s v="B032"/>
    <s v="P048"/>
    <s v="T032"/>
    <s v="A032"/>
    <s v="D005"/>
    <x v="0"/>
    <d v="2023-11-06T00:00:00"/>
    <d v="2023-06-11T00:00:00"/>
    <n v="3690.71"/>
    <s v="Insurance"/>
    <s v="Paid"/>
    <s v="PulseSecure"/>
    <s v="Clear"/>
    <x v="2"/>
    <n v="-148"/>
    <x v="0"/>
  </r>
  <r>
    <s v="B033"/>
    <s v="P021"/>
    <s v="T033"/>
    <s v="A033"/>
    <s v="D005"/>
    <x v="0"/>
    <d v="2023-09-23T00:00:00"/>
    <d v="2023-09-23T00:00:00"/>
    <n v="980.95"/>
    <s v="Credit Card"/>
    <s v="Paid"/>
    <s v="WellnessCorp"/>
    <s v="Clear"/>
    <x v="2"/>
    <n v="0"/>
    <x v="2"/>
  </r>
  <r>
    <s v="B034"/>
    <s v="P039"/>
    <s v="T034"/>
    <s v="A034"/>
    <s v="D004"/>
    <x v="1"/>
    <d v="2023-06-13T00:00:00"/>
    <d v="2023-06-13T00:00:00"/>
    <n v="3052.9"/>
    <s v="Cash"/>
    <s v="Failed"/>
    <s v="PulseSecure"/>
    <s v="Check Required"/>
    <x v="0"/>
    <n v="0"/>
    <x v="1"/>
  </r>
  <r>
    <s v="B035"/>
    <s v="P036"/>
    <s v="T035"/>
    <s v="A035"/>
    <s v="D003"/>
    <x v="3"/>
    <d v="2023-04-18T00:00:00"/>
    <d v="2023-04-18T00:00:00"/>
    <n v="1654.53"/>
    <s v="Insurance"/>
    <s v="Failed"/>
    <s v="MedCare Plus"/>
    <s v="Check Required"/>
    <x v="0"/>
    <n v="0"/>
    <x v="2"/>
  </r>
  <r>
    <s v="B036"/>
    <s v="P033"/>
    <s v="T036"/>
    <s v="A036"/>
    <s v="D003"/>
    <x v="3"/>
    <d v="2023-01-08T00:00:00"/>
    <d v="2023-08-01T00:00:00"/>
    <n v="4833.17"/>
    <s v="Cash"/>
    <s v="Pending"/>
    <s v="MedCare Plus"/>
    <s v="Check Required"/>
    <x v="0"/>
    <n v="205"/>
    <x v="0"/>
  </r>
  <r>
    <s v="B037"/>
    <s v="P030"/>
    <s v="T037"/>
    <s v="A037"/>
    <s v="D004"/>
    <x v="1"/>
    <d v="2023-03-28T00:00:00"/>
    <d v="2023-03-28T00:00:00"/>
    <n v="2675.96"/>
    <s v="Insurance"/>
    <s v="Failed"/>
    <s v="PulseSecure"/>
    <s v="Check Required"/>
    <x v="0"/>
    <n v="0"/>
    <x v="1"/>
  </r>
  <r>
    <s v="B038"/>
    <s v="P037"/>
    <s v="T038"/>
    <s v="A038"/>
    <s v="D009"/>
    <x v="0"/>
    <d v="2023-02-23T00:00:00"/>
    <d v="2023-02-23T00:00:00"/>
    <n v="4126.97"/>
    <s v="Credit Card"/>
    <s v="Failed"/>
    <s v="HealthIndia"/>
    <s v="Check Required"/>
    <x v="0"/>
    <n v="0"/>
    <x v="1"/>
  </r>
  <r>
    <s v="B039"/>
    <s v="P023"/>
    <s v="T039"/>
    <s v="A039"/>
    <s v="D002"/>
    <x v="3"/>
    <d v="2023-04-17T00:00:00"/>
    <d v="2023-04-17T00:00:00"/>
    <n v="2976.02"/>
    <s v="Insurance"/>
    <s v="Failed"/>
    <s v="WellnessCorp"/>
    <s v="Check Required"/>
    <x v="0"/>
    <n v="0"/>
    <x v="1"/>
  </r>
  <r>
    <s v="B040"/>
    <s v="P010"/>
    <s v="T040"/>
    <s v="A040"/>
    <s v="D009"/>
    <x v="0"/>
    <d v="2023-03-27T00:00:00"/>
    <d v="2023-03-27T00:00:00"/>
    <n v="695.36"/>
    <s v="Cash"/>
    <s v="Failed"/>
    <s v="WellnessCorp"/>
    <s v="Check Required"/>
    <x v="0"/>
    <n v="0"/>
    <x v="2"/>
  </r>
  <r>
    <s v="B041"/>
    <s v="P005"/>
    <s v="T041"/>
    <s v="A041"/>
    <s v="D001"/>
    <x v="1"/>
    <d v="2023-01-01T00:00:00"/>
    <d v="2023-01-01T00:00:00"/>
    <n v="3349.18"/>
    <s v="Credit Card"/>
    <s v="Paid"/>
    <s v="MedCare Plus"/>
    <s v="Clear"/>
    <x v="2"/>
    <n v="0"/>
    <x v="1"/>
  </r>
  <r>
    <s v="B042"/>
    <s v="P036"/>
    <s v="T042"/>
    <s v="A042"/>
    <s v="D001"/>
    <x v="1"/>
    <d v="2023-03-21T00:00:00"/>
    <d v="2023-03-21T00:00:00"/>
    <n v="4781.32"/>
    <s v="Insurance"/>
    <s v="Pending"/>
    <s v="MedCare Plus"/>
    <s v="Check Required"/>
    <x v="2"/>
    <n v="0"/>
    <x v="2"/>
  </r>
  <r>
    <s v="B043"/>
    <s v="P034"/>
    <s v="T043"/>
    <s v="A043"/>
    <s v="D005"/>
    <x v="0"/>
    <d v="2023-03-29T00:00:00"/>
    <d v="2023-03-29T00:00:00"/>
    <n v="3207.25"/>
    <s v="Insurance"/>
    <s v="Failed"/>
    <s v="WellnessCorp"/>
    <s v="Check Required"/>
    <x v="2"/>
    <n v="0"/>
    <x v="0"/>
  </r>
  <r>
    <s v="B044"/>
    <s v="P031"/>
    <s v="T044"/>
    <s v="A044"/>
    <s v="D006"/>
    <x v="2"/>
    <d v="2023-09-20T00:00:00"/>
    <d v="2023-09-20T00:00:00"/>
    <n v="4186.3500000000004"/>
    <s v="Insurance"/>
    <s v="Paid"/>
    <s v="WellnessCorp"/>
    <s v="Clear"/>
    <x v="0"/>
    <n v="0"/>
    <x v="2"/>
  </r>
  <r>
    <s v="B045"/>
    <s v="P010"/>
    <s v="T045"/>
    <s v="A045"/>
    <s v="D006"/>
    <x v="2"/>
    <d v="2023-09-28T00:00:00"/>
    <d v="2023-09-28T00:00:00"/>
    <n v="4478.93"/>
    <s v="Cash"/>
    <s v="Paid"/>
    <s v="WellnessCorp"/>
    <s v="Clear"/>
    <x v="0"/>
    <n v="0"/>
    <x v="2"/>
  </r>
  <r>
    <s v="B046"/>
    <s v="P019"/>
    <s v="T046"/>
    <s v="A046"/>
    <s v="D003"/>
    <x v="3"/>
    <d v="2023-12-20T00:00:00"/>
    <d v="2023-12-20T00:00:00"/>
    <n v="1526.36"/>
    <s v="Cash"/>
    <s v="Paid"/>
    <s v="WellnessCorp"/>
    <s v="Clear"/>
    <x v="0"/>
    <n v="0"/>
    <x v="0"/>
  </r>
  <r>
    <s v="B047"/>
    <s v="P032"/>
    <s v="T047"/>
    <s v="A047"/>
    <s v="D007"/>
    <x v="4"/>
    <d v="2023-05-02T00:00:00"/>
    <d v="2023-02-05T00:00:00"/>
    <n v="1454.2"/>
    <s v="Insurance"/>
    <s v="Failed"/>
    <s v="MedCare Plus"/>
    <s v="Check Required"/>
    <x v="1"/>
    <n v="-86"/>
    <x v="1"/>
  </r>
  <r>
    <s v="B048"/>
    <s v="P001"/>
    <s v="T048"/>
    <s v="A048"/>
    <s v="D009"/>
    <x v="0"/>
    <d v="2023-01-16T00:00:00"/>
    <d v="2023-01-16T00:00:00"/>
    <n v="3249.41"/>
    <s v="Credit Card"/>
    <s v="Failed"/>
    <s v="WellnessCorp"/>
    <s v="Check Required"/>
    <x v="0"/>
    <n v="0"/>
    <x v="2"/>
  </r>
  <r>
    <s v="B049"/>
    <s v="P005"/>
    <s v="T049"/>
    <s v="A049"/>
    <s v="D010"/>
    <x v="5"/>
    <d v="2023-04-30T00:00:00"/>
    <d v="2023-04-30T00:00:00"/>
    <n v="2349.63"/>
    <s v="Credit Card"/>
    <s v="Pending"/>
    <s v="MedCare Plus"/>
    <s v="Check Required"/>
    <x v="1"/>
    <n v="0"/>
    <x v="1"/>
  </r>
  <r>
    <s v="B050"/>
    <s v="P045"/>
    <s v="T050"/>
    <s v="A050"/>
    <s v="D008"/>
    <x v="5"/>
    <d v="2023-08-16T00:00:00"/>
    <d v="2023-08-16T00:00:00"/>
    <n v="4279.38"/>
    <s v="Cash"/>
    <s v="Failed"/>
    <s v="MedCare Plus"/>
    <s v="Check Required"/>
    <x v="2"/>
    <n v="0"/>
    <x v="1"/>
  </r>
  <r>
    <s v="B051"/>
    <s v="P004"/>
    <s v="T051"/>
    <s v="A051"/>
    <s v="D006"/>
    <x v="2"/>
    <d v="2023-02-04T00:00:00"/>
    <d v="2023-04-02T00:00:00"/>
    <n v="4550.1000000000004"/>
    <s v="Credit Card"/>
    <s v="Failed"/>
    <s v="HealthIndia"/>
    <s v="Check Required"/>
    <x v="0"/>
    <n v="57"/>
    <x v="1"/>
  </r>
  <r>
    <s v="B052"/>
    <s v="P016"/>
    <s v="T052"/>
    <s v="A052"/>
    <s v="D008"/>
    <x v="5"/>
    <d v="2023-07-12T00:00:00"/>
    <d v="2023-12-07T00:00:00"/>
    <n v="2090.4"/>
    <s v="Cash"/>
    <s v="Paid"/>
    <s v="PulseSecure"/>
    <s v="Clear"/>
    <x v="2"/>
    <n v="148"/>
    <x v="1"/>
  </r>
  <r>
    <s v="B053"/>
    <s v="P024"/>
    <s v="T053"/>
    <s v="A053"/>
    <s v="D005"/>
    <x v="0"/>
    <d v="2023-02-12T00:00:00"/>
    <d v="2023-12-02T00:00:00"/>
    <n v="1565.92"/>
    <s v="Insurance"/>
    <s v="Pending"/>
    <s v="WellnessCorp"/>
    <s v="Check Required"/>
    <x v="2"/>
    <n v="293"/>
    <x v="1"/>
  </r>
  <r>
    <s v="B054"/>
    <s v="P016"/>
    <s v="T054"/>
    <s v="A054"/>
    <s v="D008"/>
    <x v="5"/>
    <d v="2023-12-16T00:00:00"/>
    <d v="2023-12-16T00:00:00"/>
    <n v="4012.36"/>
    <s v="Cash"/>
    <s v="Failed"/>
    <s v="PulseSecure"/>
    <s v="Check Required"/>
    <x v="2"/>
    <n v="0"/>
    <x v="1"/>
  </r>
  <r>
    <s v="B055"/>
    <s v="P002"/>
    <s v="T055"/>
    <s v="A055"/>
    <s v="D010"/>
    <x v="5"/>
    <d v="2023-10-06T00:00:00"/>
    <d v="2023-06-10T00:00:00"/>
    <n v="1736.63"/>
    <s v="Cash"/>
    <s v="Failed"/>
    <s v="PulseSecure"/>
    <s v="Check Required"/>
    <x v="1"/>
    <n v="-118"/>
    <x v="2"/>
  </r>
  <r>
    <s v="B056"/>
    <s v="P049"/>
    <s v="T056"/>
    <s v="A056"/>
    <s v="D004"/>
    <x v="1"/>
    <d v="2023-01-02T00:00:00"/>
    <d v="2023-02-01T00:00:00"/>
    <n v="4201.76"/>
    <s v="Insurance"/>
    <s v="Paid"/>
    <s v="MedCare Plus"/>
    <s v="Clear"/>
    <x v="0"/>
    <n v="30"/>
    <x v="0"/>
  </r>
  <r>
    <s v="B057"/>
    <s v="P028"/>
    <s v="T057"/>
    <s v="A057"/>
    <s v="D010"/>
    <x v="5"/>
    <d v="2023-04-15T00:00:00"/>
    <d v="2023-04-15T00:00:00"/>
    <n v="2406.8200000000002"/>
    <s v="Credit Card"/>
    <s v="Paid"/>
    <s v="MedCare Plus"/>
    <s v="Clear"/>
    <x v="1"/>
    <n v="0"/>
    <x v="0"/>
  </r>
  <r>
    <s v="B058"/>
    <s v="P032"/>
    <s v="T058"/>
    <s v="A058"/>
    <s v="D008"/>
    <x v="5"/>
    <d v="2023-05-09T00:00:00"/>
    <d v="2023-09-05T00:00:00"/>
    <n v="3503.97"/>
    <s v="Cash"/>
    <s v="Failed"/>
    <s v="MedCare Plus"/>
    <s v="Check Required"/>
    <x v="2"/>
    <n v="119"/>
    <x v="1"/>
  </r>
  <r>
    <s v="B059"/>
    <s v="P027"/>
    <s v="T059"/>
    <s v="A059"/>
    <s v="D010"/>
    <x v="5"/>
    <d v="2023-03-09T00:00:00"/>
    <d v="2023-09-03T00:00:00"/>
    <n v="929.91"/>
    <s v="Cash"/>
    <s v="Pending"/>
    <s v="HealthIndia"/>
    <s v="Check Required"/>
    <x v="1"/>
    <n v="178"/>
    <x v="1"/>
  </r>
  <r>
    <s v="B060"/>
    <s v="P020"/>
    <s v="T060"/>
    <s v="A060"/>
    <s v="D002"/>
    <x v="3"/>
    <d v="2023-11-22T00:00:00"/>
    <d v="2023-11-22T00:00:00"/>
    <n v="3307.37"/>
    <s v="Insurance"/>
    <s v="Pending"/>
    <s v="MedCare Plus"/>
    <s v="Check Required"/>
    <x v="0"/>
    <n v="0"/>
    <x v="2"/>
  </r>
  <r>
    <s v="B061"/>
    <s v="P024"/>
    <s v="T061"/>
    <s v="A061"/>
    <s v="D005"/>
    <x v="0"/>
    <d v="2023-01-15T00:00:00"/>
    <d v="2023-01-15T00:00:00"/>
    <n v="2532.9499999999998"/>
    <s v="Credit Card"/>
    <s v="Paid"/>
    <s v="WellnessCorp"/>
    <s v="Clear"/>
    <x v="2"/>
    <n v="0"/>
    <x v="1"/>
  </r>
  <r>
    <s v="B062"/>
    <s v="P012"/>
    <s v="T062"/>
    <s v="A062"/>
    <s v="D009"/>
    <x v="0"/>
    <d v="2023-06-14T00:00:00"/>
    <d v="2023-06-14T00:00:00"/>
    <n v="3139.74"/>
    <s v="Cash"/>
    <s v="Paid"/>
    <s v="MedCare Plus"/>
    <s v="Clear"/>
    <x v="0"/>
    <n v="0"/>
    <x v="0"/>
  </r>
  <r>
    <s v="B063"/>
    <s v="P050"/>
    <s v="T063"/>
    <s v="A063"/>
    <s v="D004"/>
    <x v="1"/>
    <d v="2023-06-29T00:00:00"/>
    <d v="2023-06-29T00:00:00"/>
    <n v="1256.06"/>
    <s v="Insurance"/>
    <s v="Failed"/>
    <s v="WellnessCorp"/>
    <s v="Check Required"/>
    <x v="0"/>
    <n v="0"/>
    <x v="0"/>
  </r>
  <r>
    <s v="B064"/>
    <s v="P035"/>
    <s v="T064"/>
    <s v="A064"/>
    <s v="D006"/>
    <x v="2"/>
    <d v="2023-05-31T00:00:00"/>
    <d v="2023-05-31T00:00:00"/>
    <n v="3815.93"/>
    <s v="Cash"/>
    <s v="Paid"/>
    <s v="MedCare Plus"/>
    <s v="Clear"/>
    <x v="0"/>
    <n v="0"/>
    <x v="0"/>
  </r>
  <r>
    <s v="B065"/>
    <s v="P033"/>
    <s v="T065"/>
    <s v="A065"/>
    <s v="D001"/>
    <x v="1"/>
    <d v="2023-04-24T00:00:00"/>
    <d v="2023-04-24T00:00:00"/>
    <n v="4382.59"/>
    <s v="Insurance"/>
    <s v="Failed"/>
    <s v="MedCare Plus"/>
    <s v="Check Required"/>
    <x v="2"/>
    <n v="0"/>
    <x v="0"/>
  </r>
  <r>
    <s v="B066"/>
    <s v="P033"/>
    <s v="T066"/>
    <s v="A066"/>
    <s v="D009"/>
    <x v="0"/>
    <d v="2023-05-10T00:00:00"/>
    <d v="2023-10-05T00:00:00"/>
    <n v="1475.33"/>
    <s v="Credit Card"/>
    <s v="Pending"/>
    <s v="MedCare Plus"/>
    <s v="Check Required"/>
    <x v="0"/>
    <n v="148"/>
    <x v="0"/>
  </r>
  <r>
    <s v="B067"/>
    <s v="P043"/>
    <s v="T067"/>
    <s v="A067"/>
    <s v="D001"/>
    <x v="1"/>
    <d v="2023-08-10T00:00:00"/>
    <d v="2023-10-08T00:00:00"/>
    <n v="930.72"/>
    <s v="Credit Card"/>
    <s v="Pending"/>
    <s v="WellnessCorp"/>
    <s v="Check Required"/>
    <x v="2"/>
    <n v="59"/>
    <x v="2"/>
  </r>
  <r>
    <s v="B068"/>
    <s v="P037"/>
    <s v="T068"/>
    <s v="A068"/>
    <s v="D005"/>
    <x v="0"/>
    <d v="2023-03-14T00:00:00"/>
    <d v="2023-03-14T00:00:00"/>
    <n v="606.37"/>
    <s v="Credit Card"/>
    <s v="Failed"/>
    <s v="HealthIndia"/>
    <s v="Check Required"/>
    <x v="2"/>
    <n v="0"/>
    <x v="1"/>
  </r>
  <r>
    <s v="B069"/>
    <s v="P012"/>
    <s v="T069"/>
    <s v="A069"/>
    <s v="D004"/>
    <x v="1"/>
    <d v="2023-03-29T00:00:00"/>
    <d v="2023-03-29T00:00:00"/>
    <n v="3388.87"/>
    <s v="Credit Card"/>
    <s v="Paid"/>
    <s v="MedCare Plus"/>
    <s v="Clear"/>
    <x v="0"/>
    <n v="0"/>
    <x v="0"/>
  </r>
  <r>
    <s v="B070"/>
    <s v="P003"/>
    <s v="T070"/>
    <s v="A070"/>
    <s v="D003"/>
    <x v="3"/>
    <d v="2023-08-26T00:00:00"/>
    <d v="2023-08-26T00:00:00"/>
    <n v="3231.92"/>
    <s v="Cash"/>
    <s v="Pending"/>
    <s v="PulseSecure"/>
    <s v="Check Required"/>
    <x v="0"/>
    <n v="0"/>
    <x v="2"/>
  </r>
  <r>
    <s v="B071"/>
    <s v="P001"/>
    <s v="T071"/>
    <s v="A071"/>
    <s v="D006"/>
    <x v="2"/>
    <d v="2023-01-26T00:00:00"/>
    <d v="2023-01-26T00:00:00"/>
    <n v="2960.14"/>
    <s v="Cash"/>
    <s v="Paid"/>
    <s v="WellnessCorp"/>
    <s v="Clear"/>
    <x v="0"/>
    <n v="0"/>
    <x v="2"/>
  </r>
  <r>
    <s v="B072"/>
    <s v="P033"/>
    <s v="T072"/>
    <s v="A072"/>
    <s v="D002"/>
    <x v="3"/>
    <d v="2023-06-12T00:00:00"/>
    <d v="2023-12-06T00:00:00"/>
    <n v="1543.76"/>
    <s v="Credit Card"/>
    <s v="Pending"/>
    <s v="MedCare Plus"/>
    <s v="Check Required"/>
    <x v="0"/>
    <n v="177"/>
    <x v="0"/>
  </r>
  <r>
    <s v="B073"/>
    <s v="P040"/>
    <s v="T073"/>
    <s v="A073"/>
    <s v="D003"/>
    <x v="3"/>
    <d v="2023-12-24T00:00:00"/>
    <d v="2023-12-24T00:00:00"/>
    <n v="2259.08"/>
    <s v="Credit Card"/>
    <s v="Failed"/>
    <s v="PulseSecure"/>
    <s v="Check Required"/>
    <x v="0"/>
    <n v="0"/>
    <x v="1"/>
  </r>
  <r>
    <s v="B074"/>
    <s v="P010"/>
    <s v="T074"/>
    <s v="A074"/>
    <s v="D005"/>
    <x v="0"/>
    <d v="2023-07-23T00:00:00"/>
    <d v="2023-07-23T00:00:00"/>
    <n v="3175.14"/>
    <s v="Credit Card"/>
    <s v="Failed"/>
    <s v="WellnessCorp"/>
    <s v="Check Required"/>
    <x v="2"/>
    <n v="0"/>
    <x v="2"/>
  </r>
  <r>
    <s v="B075"/>
    <s v="P043"/>
    <s v="T075"/>
    <s v="A075"/>
    <s v="D009"/>
    <x v="0"/>
    <d v="2023-05-08T00:00:00"/>
    <d v="2023-08-05T00:00:00"/>
    <n v="2735.45"/>
    <s v="Cash"/>
    <s v="Failed"/>
    <s v="WellnessCorp"/>
    <s v="Check Required"/>
    <x v="0"/>
    <n v="89"/>
    <x v="2"/>
  </r>
  <r>
    <s v="B076"/>
    <s v="P044"/>
    <s v="T076"/>
    <s v="A076"/>
    <s v="D002"/>
    <x v="3"/>
    <d v="2023-11-27T00:00:00"/>
    <d v="2023-11-27T00:00:00"/>
    <n v="4945.03"/>
    <s v="Credit Card"/>
    <s v="Pending"/>
    <s v="PulseSecure"/>
    <s v="Check Required"/>
    <x v="0"/>
    <n v="0"/>
    <x v="0"/>
  </r>
  <r>
    <s v="B077"/>
    <s v="P029"/>
    <s v="T077"/>
    <s v="A077"/>
    <s v="D010"/>
    <x v="5"/>
    <d v="2023-12-14T00:00:00"/>
    <d v="2023-12-14T00:00:00"/>
    <n v="1113.98"/>
    <s v="Credit Card"/>
    <s v="Paid"/>
    <s v="HealthIndia"/>
    <s v="Clear"/>
    <x v="1"/>
    <n v="0"/>
    <x v="0"/>
  </r>
  <r>
    <s v="B078"/>
    <s v="P013"/>
    <s v="T078"/>
    <s v="A078"/>
    <s v="D008"/>
    <x v="5"/>
    <d v="2023-09-17T00:00:00"/>
    <d v="2023-09-17T00:00:00"/>
    <n v="3628.15"/>
    <s v="Credit Card"/>
    <s v="Paid"/>
    <s v="WellnessCorp"/>
    <s v="Clear"/>
    <x v="2"/>
    <n v="0"/>
    <x v="1"/>
  </r>
  <r>
    <s v="B079"/>
    <s v="P012"/>
    <s v="T079"/>
    <s v="A079"/>
    <s v="D002"/>
    <x v="3"/>
    <d v="2023-12-26T00:00:00"/>
    <d v="2023-12-26T00:00:00"/>
    <n v="2319.4299999999998"/>
    <s v="Insurance"/>
    <s v="Paid"/>
    <s v="MedCare Plus"/>
    <s v="Clear"/>
    <x v="0"/>
    <n v="0"/>
    <x v="0"/>
  </r>
  <r>
    <s v="B080"/>
    <s v="P031"/>
    <s v="T080"/>
    <s v="A080"/>
    <s v="D005"/>
    <x v="0"/>
    <d v="2023-06-26T00:00:00"/>
    <d v="2023-06-26T00:00:00"/>
    <n v="2426.9"/>
    <s v="Credit Card"/>
    <s v="Pending"/>
    <s v="WellnessCorp"/>
    <s v="Check Required"/>
    <x v="2"/>
    <n v="0"/>
    <x v="2"/>
  </r>
  <r>
    <s v="B081"/>
    <s v="P046"/>
    <s v="T081"/>
    <s v="A081"/>
    <s v="D007"/>
    <x v="4"/>
    <d v="2023-01-06T00:00:00"/>
    <d v="2023-06-01T00:00:00"/>
    <n v="3729.19"/>
    <s v="Insurance"/>
    <s v="Pending"/>
    <s v="MedCare Plus"/>
    <s v="Check Required"/>
    <x v="1"/>
    <n v="146"/>
    <x v="1"/>
  </r>
  <r>
    <s v="B082"/>
    <s v="P002"/>
    <s v="T082"/>
    <s v="A082"/>
    <s v="D008"/>
    <x v="5"/>
    <d v="2023-01-20T00:00:00"/>
    <d v="2023-01-20T00:00:00"/>
    <n v="3615.96"/>
    <s v="Insurance"/>
    <s v="Pending"/>
    <s v="PulseSecure"/>
    <s v="Check Required"/>
    <x v="2"/>
    <n v="0"/>
    <x v="2"/>
  </r>
  <r>
    <s v="B083"/>
    <s v="P050"/>
    <s v="T083"/>
    <s v="A083"/>
    <s v="D001"/>
    <x v="1"/>
    <d v="2023-11-07T00:00:00"/>
    <d v="2023-07-11T00:00:00"/>
    <n v="4960.6499999999996"/>
    <s v="Credit Card"/>
    <s v="Pending"/>
    <s v="WellnessCorp"/>
    <s v="Check Required"/>
    <x v="2"/>
    <n v="-119"/>
    <x v="0"/>
  </r>
  <r>
    <s v="B084"/>
    <s v="P035"/>
    <s v="T084"/>
    <s v="A084"/>
    <s v="D006"/>
    <x v="2"/>
    <d v="2023-05-31T00:00:00"/>
    <d v="2023-05-31T00:00:00"/>
    <n v="1077.77"/>
    <s v="Insurance"/>
    <s v="Pending"/>
    <s v="MedCare Plus"/>
    <s v="Check Required"/>
    <x v="0"/>
    <n v="0"/>
    <x v="0"/>
  </r>
  <r>
    <s v="B085"/>
    <s v="P023"/>
    <s v="T085"/>
    <s v="A085"/>
    <s v="D001"/>
    <x v="1"/>
    <d v="2023-02-18T00:00:00"/>
    <d v="2023-02-18T00:00:00"/>
    <n v="968.49"/>
    <s v="Credit Card"/>
    <s v="Paid"/>
    <s v="WellnessCorp"/>
    <s v="Clear"/>
    <x v="2"/>
    <n v="0"/>
    <x v="1"/>
  </r>
  <r>
    <s v="B086"/>
    <s v="P017"/>
    <s v="T086"/>
    <s v="A086"/>
    <s v="D002"/>
    <x v="3"/>
    <d v="2023-10-29T00:00:00"/>
    <d v="2023-10-29T00:00:00"/>
    <n v="3759.52"/>
    <s v="Cash"/>
    <s v="Pending"/>
    <s v="WellnessCorp"/>
    <s v="Check Required"/>
    <x v="0"/>
    <n v="0"/>
    <x v="2"/>
  </r>
  <r>
    <s v="B087"/>
    <s v="P026"/>
    <s v="T087"/>
    <s v="A087"/>
    <s v="D001"/>
    <x v="1"/>
    <d v="2023-10-19T00:00:00"/>
    <d v="2023-10-19T00:00:00"/>
    <n v="3102.74"/>
    <s v="Cash"/>
    <s v="Pending"/>
    <s v="MedCare Plus"/>
    <s v="Check Required"/>
    <x v="2"/>
    <n v="0"/>
    <x v="1"/>
  </r>
  <r>
    <s v="B088"/>
    <s v="P008"/>
    <s v="T088"/>
    <s v="A088"/>
    <s v="D005"/>
    <x v="0"/>
    <d v="2023-05-02T00:00:00"/>
    <d v="2023-02-05T00:00:00"/>
    <n v="1733.72"/>
    <s v="Cash"/>
    <s v="Paid"/>
    <s v="WellnessCorp"/>
    <s v="Clear"/>
    <x v="2"/>
    <n v="-86"/>
    <x v="1"/>
  </r>
  <r>
    <s v="B089"/>
    <s v="P029"/>
    <s v="T089"/>
    <s v="A089"/>
    <s v="D010"/>
    <x v="5"/>
    <d v="2023-02-14T00:00:00"/>
    <d v="2023-02-14T00:00:00"/>
    <n v="857.39"/>
    <s v="Cash"/>
    <s v="Pending"/>
    <s v="HealthIndia"/>
    <s v="Check Required"/>
    <x v="1"/>
    <n v="0"/>
    <x v="0"/>
  </r>
  <r>
    <s v="B090"/>
    <s v="P026"/>
    <s v="T090"/>
    <s v="A090"/>
    <s v="D009"/>
    <x v="0"/>
    <d v="2023-06-01T00:00:00"/>
    <d v="2023-01-06T00:00:00"/>
    <n v="885.46"/>
    <s v="Insurance"/>
    <s v="Paid"/>
    <s v="MedCare Plus"/>
    <s v="Clear"/>
    <x v="0"/>
    <n v="-146"/>
    <x v="1"/>
  </r>
  <r>
    <s v="B091"/>
    <s v="P010"/>
    <s v="T091"/>
    <s v="A091"/>
    <s v="D006"/>
    <x v="2"/>
    <d v="2023-06-11T00:00:00"/>
    <d v="2023-11-06T00:00:00"/>
    <n v="4523.8599999999997"/>
    <s v="Credit Card"/>
    <s v="Paid"/>
    <s v="WellnessCorp"/>
    <s v="Clear"/>
    <x v="0"/>
    <n v="148"/>
    <x v="2"/>
  </r>
  <r>
    <s v="B092"/>
    <s v="P026"/>
    <s v="T092"/>
    <s v="A092"/>
    <s v="D001"/>
    <x v="1"/>
    <d v="2023-01-30T00:00:00"/>
    <d v="2023-01-30T00:00:00"/>
    <n v="1363.4"/>
    <s v="Credit Card"/>
    <s v="Failed"/>
    <s v="MedCare Plus"/>
    <s v="Check Required"/>
    <x v="2"/>
    <n v="0"/>
    <x v="1"/>
  </r>
  <r>
    <s v="B093"/>
    <s v="P034"/>
    <s v="T093"/>
    <s v="A093"/>
    <s v="D001"/>
    <x v="1"/>
    <d v="2023-04-09T00:00:00"/>
    <d v="2023-09-04T00:00:00"/>
    <n v="1955.17"/>
    <s v="Credit Card"/>
    <s v="Failed"/>
    <s v="WellnessCorp"/>
    <s v="Check Required"/>
    <x v="2"/>
    <n v="148"/>
    <x v="0"/>
  </r>
  <r>
    <s v="B094"/>
    <s v="P041"/>
    <s v="T094"/>
    <s v="A094"/>
    <s v="D002"/>
    <x v="3"/>
    <d v="2023-04-08T00:00:00"/>
    <d v="2023-08-04T00:00:00"/>
    <n v="1519.95"/>
    <s v="Cash"/>
    <s v="Failed"/>
    <s v="WellnessCorp"/>
    <s v="Check Required"/>
    <x v="0"/>
    <n v="118"/>
    <x v="2"/>
  </r>
  <r>
    <s v="B095"/>
    <s v="P007"/>
    <s v="T095"/>
    <s v="A095"/>
    <s v="D009"/>
    <x v="0"/>
    <d v="2023-05-09T00:00:00"/>
    <d v="2023-09-05T00:00:00"/>
    <n v="2097.48"/>
    <s v="Cash"/>
    <s v="Failed"/>
    <s v="MedCare Plus"/>
    <s v="Check Required"/>
    <x v="0"/>
    <n v="119"/>
    <x v="1"/>
  </r>
  <r>
    <s v="B096"/>
    <s v="P004"/>
    <s v="T096"/>
    <s v="A096"/>
    <s v="D003"/>
    <x v="3"/>
    <d v="2023-07-07T00:00:00"/>
    <d v="2023-07-07T00:00:00"/>
    <n v="812.41"/>
    <s v="Credit Card"/>
    <s v="Pending"/>
    <s v="HealthIndia"/>
    <s v="Check Required"/>
    <x v="0"/>
    <n v="0"/>
    <x v="1"/>
  </r>
  <r>
    <s v="B097"/>
    <s v="P050"/>
    <s v="T097"/>
    <s v="A097"/>
    <s v="D001"/>
    <x v="1"/>
    <d v="2023-05-06T00:00:00"/>
    <d v="2023-06-05T00:00:00"/>
    <n v="2835.77"/>
    <s v="Cash"/>
    <s v="Failed"/>
    <s v="WellnessCorp"/>
    <s v="Check Required"/>
    <x v="2"/>
    <n v="30"/>
    <x v="0"/>
  </r>
  <r>
    <s v="B098"/>
    <s v="P045"/>
    <s v="T098"/>
    <s v="A098"/>
    <s v="D005"/>
    <x v="0"/>
    <d v="2023-03-17T00:00:00"/>
    <d v="2023-03-17T00:00:00"/>
    <n v="804.26"/>
    <s v="Credit Card"/>
    <s v="Paid"/>
    <s v="MedCare Plus"/>
    <s v="Clear"/>
    <x v="2"/>
    <n v="0"/>
    <x v="1"/>
  </r>
  <r>
    <s v="B099"/>
    <s v="P011"/>
    <s v="T099"/>
    <s v="A099"/>
    <s v="D007"/>
    <x v="4"/>
    <d v="2023-07-04T00:00:00"/>
    <d v="2023-04-07T00:00:00"/>
    <n v="4101.6000000000004"/>
    <s v="Credit Card"/>
    <s v="Pending"/>
    <s v="MedCare Plus"/>
    <s v="Check Required"/>
    <x v="1"/>
    <n v="-88"/>
    <x v="2"/>
  </r>
  <r>
    <s v="B100"/>
    <s v="P029"/>
    <s v="T100"/>
    <s v="A100"/>
    <s v="D006"/>
    <x v="2"/>
    <d v="2023-03-02T00:00:00"/>
    <d v="2023-02-03T00:00:00"/>
    <n v="1551.7"/>
    <s v="Credit Card"/>
    <s v="Failed"/>
    <s v="HealthIndia"/>
    <s v="Check Required"/>
    <x v="0"/>
    <n v="-27"/>
    <x v="0"/>
  </r>
  <r>
    <s v="B101"/>
    <s v="P036"/>
    <s v="T101"/>
    <s v="A101"/>
    <s v="D001"/>
    <x v="1"/>
    <d v="2023-09-21T00:00:00"/>
    <d v="2023-09-21T00:00:00"/>
    <n v="2930.05"/>
    <s v="Credit Card"/>
    <s v="Paid"/>
    <s v="MedCare Plus"/>
    <s v="Clear"/>
    <x v="2"/>
    <n v="0"/>
    <x v="2"/>
  </r>
  <r>
    <s v="B102"/>
    <s v="P025"/>
    <s v="T102"/>
    <s v="A102"/>
    <s v="D005"/>
    <x v="0"/>
    <d v="2023-10-25T00:00:00"/>
    <d v="2023-10-25T00:00:00"/>
    <n v="4460.3599999999997"/>
    <s v="Credit Card"/>
    <s v="Pending"/>
    <s v="HealthIndia"/>
    <s v="Check Required"/>
    <x v="2"/>
    <n v="0"/>
    <x v="1"/>
  </r>
  <r>
    <s v="B103"/>
    <s v="P021"/>
    <s v="T103"/>
    <s v="A103"/>
    <s v="D005"/>
    <x v="0"/>
    <d v="2023-01-24T00:00:00"/>
    <d v="2023-01-24T00:00:00"/>
    <n v="3428.95"/>
    <s v="Credit Card"/>
    <s v="Pending"/>
    <s v="WellnessCorp"/>
    <s v="Check Required"/>
    <x v="2"/>
    <n v="0"/>
    <x v="2"/>
  </r>
  <r>
    <s v="B104"/>
    <s v="P036"/>
    <s v="T104"/>
    <s v="A104"/>
    <s v="D006"/>
    <x v="2"/>
    <d v="2023-04-18T00:00:00"/>
    <d v="2023-04-18T00:00:00"/>
    <n v="2898.31"/>
    <s v="Credit Card"/>
    <s v="Failed"/>
    <s v="MedCare Plus"/>
    <s v="Check Required"/>
    <x v="0"/>
    <n v="0"/>
    <x v="2"/>
  </r>
  <r>
    <s v="B105"/>
    <s v="P010"/>
    <s v="T105"/>
    <s v="A105"/>
    <s v="D003"/>
    <x v="3"/>
    <d v="2023-08-14T00:00:00"/>
    <d v="2023-08-14T00:00:00"/>
    <n v="1959.5"/>
    <s v="Cash"/>
    <s v="Pending"/>
    <s v="WellnessCorp"/>
    <s v="Check Required"/>
    <x v="0"/>
    <n v="0"/>
    <x v="2"/>
  </r>
  <r>
    <s v="B106"/>
    <s v="P037"/>
    <s v="T106"/>
    <s v="A106"/>
    <s v="D005"/>
    <x v="0"/>
    <d v="2023-10-29T00:00:00"/>
    <d v="2023-10-29T00:00:00"/>
    <n v="1998.51"/>
    <s v="Credit Card"/>
    <s v="Paid"/>
    <s v="HealthIndia"/>
    <s v="Clear"/>
    <x v="2"/>
    <n v="0"/>
    <x v="1"/>
  </r>
  <r>
    <s v="B107"/>
    <s v="P009"/>
    <s v="T107"/>
    <s v="A107"/>
    <s v="D007"/>
    <x v="4"/>
    <d v="2023-04-17T00:00:00"/>
    <d v="2023-04-17T00:00:00"/>
    <n v="3512.69"/>
    <s v="Credit Card"/>
    <s v="Pending"/>
    <s v="PulseSecure"/>
    <s v="Check Required"/>
    <x v="1"/>
    <n v="0"/>
    <x v="2"/>
  </r>
  <r>
    <s v="B108"/>
    <s v="P024"/>
    <s v="T108"/>
    <s v="A108"/>
    <s v="D005"/>
    <x v="0"/>
    <d v="2023-04-21T00:00:00"/>
    <d v="2023-04-21T00:00:00"/>
    <n v="4973.63"/>
    <s v="Cash"/>
    <s v="Paid"/>
    <s v="WellnessCorp"/>
    <s v="Clear"/>
    <x v="2"/>
    <n v="0"/>
    <x v="1"/>
  </r>
  <r>
    <s v="B109"/>
    <s v="P035"/>
    <s v="T109"/>
    <s v="A109"/>
    <s v="D005"/>
    <x v="0"/>
    <d v="2023-07-29T00:00:00"/>
    <d v="2023-07-29T00:00:00"/>
    <n v="3478.28"/>
    <s v="Cash"/>
    <s v="Pending"/>
    <s v="MedCare Plus"/>
    <s v="Check Required"/>
    <x v="2"/>
    <n v="0"/>
    <x v="0"/>
  </r>
  <r>
    <s v="B110"/>
    <s v="P049"/>
    <s v="T110"/>
    <s v="A110"/>
    <s v="D005"/>
    <x v="0"/>
    <d v="2023-07-19T00:00:00"/>
    <d v="2023-07-19T00:00:00"/>
    <n v="3010.03"/>
    <s v="Cash"/>
    <s v="Failed"/>
    <s v="MedCare Plus"/>
    <s v="Check Required"/>
    <x v="2"/>
    <n v="0"/>
    <x v="0"/>
  </r>
  <r>
    <s v="B111"/>
    <s v="P035"/>
    <s v="T111"/>
    <s v="A111"/>
    <s v="D010"/>
    <x v="5"/>
    <d v="2023-05-22T00:00:00"/>
    <d v="2023-05-22T00:00:00"/>
    <n v="3787.93"/>
    <s v="Credit Card"/>
    <s v="Paid"/>
    <s v="MedCare Plus"/>
    <s v="Clear"/>
    <x v="1"/>
    <n v="0"/>
    <x v="0"/>
  </r>
  <r>
    <s v="B112"/>
    <s v="P048"/>
    <s v="T112"/>
    <s v="A112"/>
    <s v="D010"/>
    <x v="5"/>
    <d v="2023-01-11T00:00:00"/>
    <d v="2023-11-01T00:00:00"/>
    <n v="2593.4299999999998"/>
    <s v="Insurance"/>
    <s v="Pending"/>
    <s v="PulseSecure"/>
    <s v="Check Required"/>
    <x v="1"/>
    <n v="294"/>
    <x v="0"/>
  </r>
  <r>
    <s v="B113"/>
    <s v="P036"/>
    <s v="T113"/>
    <s v="A113"/>
    <s v="D003"/>
    <x v="3"/>
    <d v="2023-11-24T00:00:00"/>
    <d v="2023-11-24T00:00:00"/>
    <n v="770.64"/>
    <s v="Insurance"/>
    <s v="Pending"/>
    <s v="MedCare Plus"/>
    <s v="Check Required"/>
    <x v="0"/>
    <n v="0"/>
    <x v="2"/>
  </r>
  <r>
    <s v="B114"/>
    <s v="P018"/>
    <s v="T114"/>
    <s v="A114"/>
    <s v="D001"/>
    <x v="1"/>
    <d v="2023-08-08T00:00:00"/>
    <d v="2023-08-08T00:00:00"/>
    <n v="3030.34"/>
    <s v="Cash"/>
    <s v="Pending"/>
    <s v="PulseSecure"/>
    <s v="Check Required"/>
    <x v="2"/>
    <n v="0"/>
    <x v="2"/>
  </r>
  <r>
    <s v="B115"/>
    <s v="P049"/>
    <s v="T115"/>
    <s v="A115"/>
    <s v="D005"/>
    <x v="0"/>
    <d v="2023-10-25T00:00:00"/>
    <d v="2023-10-25T00:00:00"/>
    <n v="4809.3100000000004"/>
    <s v="Insurance"/>
    <s v="Paid"/>
    <s v="MedCare Plus"/>
    <s v="Clear"/>
    <x v="2"/>
    <n v="0"/>
    <x v="0"/>
  </r>
  <r>
    <s v="B116"/>
    <s v="P039"/>
    <s v="T116"/>
    <s v="A116"/>
    <s v="D009"/>
    <x v="0"/>
    <d v="2023-07-07T00:00:00"/>
    <d v="2023-07-07T00:00:00"/>
    <n v="1288.8599999999999"/>
    <s v="Cash"/>
    <s v="Paid"/>
    <s v="PulseSecure"/>
    <s v="Clear"/>
    <x v="0"/>
    <n v="0"/>
    <x v="1"/>
  </r>
  <r>
    <s v="B117"/>
    <s v="P032"/>
    <s v="T117"/>
    <s v="A117"/>
    <s v="D001"/>
    <x v="1"/>
    <d v="2023-06-20T00:00:00"/>
    <d v="2023-06-20T00:00:00"/>
    <n v="3605.02"/>
    <s v="Credit Card"/>
    <s v="Paid"/>
    <s v="MedCare Plus"/>
    <s v="Clear"/>
    <x v="2"/>
    <n v="0"/>
    <x v="1"/>
  </r>
  <r>
    <s v="B118"/>
    <s v="P024"/>
    <s v="T118"/>
    <s v="A118"/>
    <s v="D003"/>
    <x v="3"/>
    <d v="2023-08-09T00:00:00"/>
    <d v="2023-09-08T00:00:00"/>
    <n v="1404.2"/>
    <s v="Insurance"/>
    <s v="Failed"/>
    <s v="WellnessCorp"/>
    <s v="Check Required"/>
    <x v="0"/>
    <n v="30"/>
    <x v="1"/>
  </r>
  <r>
    <s v="B119"/>
    <s v="P023"/>
    <s v="T119"/>
    <s v="A119"/>
    <s v="D004"/>
    <x v="1"/>
    <d v="2023-12-18T00:00:00"/>
    <d v="2023-12-18T00:00:00"/>
    <n v="2911.22"/>
    <s v="Credit Card"/>
    <s v="Failed"/>
    <s v="WellnessCorp"/>
    <s v="Check Required"/>
    <x v="0"/>
    <n v="0"/>
    <x v="1"/>
  </r>
  <r>
    <s v="B120"/>
    <s v="P032"/>
    <s v="T120"/>
    <s v="A120"/>
    <s v="D001"/>
    <x v="1"/>
    <d v="2023-12-08T00:00:00"/>
    <d v="2023-08-12T00:00:00"/>
    <n v="935.04"/>
    <s v="Insurance"/>
    <s v="Paid"/>
    <s v="MedCare Plus"/>
    <s v="Clear"/>
    <x v="2"/>
    <n v="-118"/>
    <x v="1"/>
  </r>
  <r>
    <s v="B121"/>
    <s v="P037"/>
    <s v="T121"/>
    <s v="A121"/>
    <s v="D001"/>
    <x v="1"/>
    <d v="2023-04-07T00:00:00"/>
    <d v="2023-07-04T00:00:00"/>
    <n v="2526.67"/>
    <s v="Credit Card"/>
    <s v="Pending"/>
    <s v="HealthIndia"/>
    <s v="Check Required"/>
    <x v="2"/>
    <n v="88"/>
    <x v="1"/>
  </r>
  <r>
    <s v="B122"/>
    <s v="P012"/>
    <s v="T122"/>
    <s v="A122"/>
    <s v="D008"/>
    <x v="5"/>
    <d v="2023-07-11T00:00:00"/>
    <d v="2023-11-07T00:00:00"/>
    <n v="3902.73"/>
    <s v="Insurance"/>
    <s v="Failed"/>
    <s v="MedCare Plus"/>
    <s v="Check Required"/>
    <x v="2"/>
    <n v="119"/>
    <x v="0"/>
  </r>
  <r>
    <s v="B123"/>
    <s v="P049"/>
    <s v="T123"/>
    <s v="A123"/>
    <s v="D002"/>
    <x v="3"/>
    <d v="2023-02-28T00:00:00"/>
    <d v="2023-02-28T00:00:00"/>
    <n v="2064.0700000000002"/>
    <s v="Credit Card"/>
    <s v="Paid"/>
    <s v="MedCare Plus"/>
    <s v="Clear"/>
    <x v="0"/>
    <n v="0"/>
    <x v="0"/>
  </r>
  <r>
    <s v="B124"/>
    <s v="P013"/>
    <s v="T124"/>
    <s v="A124"/>
    <s v="D008"/>
    <x v="5"/>
    <d v="2023-03-16T00:00:00"/>
    <d v="2023-03-16T00:00:00"/>
    <n v="3492.1"/>
    <s v="Credit Card"/>
    <s v="Pending"/>
    <s v="WellnessCorp"/>
    <s v="Check Required"/>
    <x v="2"/>
    <n v="0"/>
    <x v="1"/>
  </r>
  <r>
    <s v="B125"/>
    <s v="P023"/>
    <s v="T125"/>
    <s v="A125"/>
    <s v="D007"/>
    <x v="4"/>
    <d v="2023-02-18T00:00:00"/>
    <d v="2023-02-18T00:00:00"/>
    <n v="4079.52"/>
    <s v="Insurance"/>
    <s v="Failed"/>
    <s v="WellnessCorp"/>
    <s v="Check Required"/>
    <x v="1"/>
    <n v="0"/>
    <x v="1"/>
  </r>
  <r>
    <s v="B126"/>
    <s v="P025"/>
    <s v="T126"/>
    <s v="A126"/>
    <s v="D010"/>
    <x v="5"/>
    <d v="2023-11-02T00:00:00"/>
    <d v="2023-02-11T00:00:00"/>
    <n v="4672.3"/>
    <s v="Credit Card"/>
    <s v="Pending"/>
    <s v="HealthIndia"/>
    <s v="Check Required"/>
    <x v="1"/>
    <n v="-264"/>
    <x v="1"/>
  </r>
  <r>
    <s v="B127"/>
    <s v="P035"/>
    <s v="T127"/>
    <s v="A127"/>
    <s v="D010"/>
    <x v="5"/>
    <d v="2023-11-13T00:00:00"/>
    <d v="2023-11-13T00:00:00"/>
    <n v="1555.89"/>
    <s v="Credit Card"/>
    <s v="Pending"/>
    <s v="MedCare Plus"/>
    <s v="Check Required"/>
    <x v="1"/>
    <n v="0"/>
    <x v="0"/>
  </r>
  <r>
    <s v="B128"/>
    <s v="P041"/>
    <s v="T128"/>
    <s v="A128"/>
    <s v="D002"/>
    <x v="3"/>
    <d v="2023-04-15T00:00:00"/>
    <d v="2023-04-15T00:00:00"/>
    <n v="2296.92"/>
    <s v="Credit Card"/>
    <s v="Pending"/>
    <s v="WellnessCorp"/>
    <s v="Check Required"/>
    <x v="0"/>
    <n v="0"/>
    <x v="2"/>
  </r>
  <r>
    <s v="B129"/>
    <s v="P030"/>
    <s v="T129"/>
    <s v="A129"/>
    <s v="D006"/>
    <x v="2"/>
    <d v="2023-08-25T00:00:00"/>
    <d v="2023-08-25T00:00:00"/>
    <n v="1185.8699999999999"/>
    <s v="Insurance"/>
    <s v="Pending"/>
    <s v="PulseSecure"/>
    <s v="Check Required"/>
    <x v="0"/>
    <n v="0"/>
    <x v="1"/>
  </r>
  <r>
    <s v="B130"/>
    <s v="P017"/>
    <s v="T130"/>
    <s v="A130"/>
    <s v="D006"/>
    <x v="2"/>
    <d v="2023-02-23T00:00:00"/>
    <d v="2023-02-23T00:00:00"/>
    <n v="4966.18"/>
    <s v="Insurance"/>
    <s v="Failed"/>
    <s v="WellnessCorp"/>
    <s v="Check Required"/>
    <x v="0"/>
    <n v="0"/>
    <x v="2"/>
  </r>
  <r>
    <s v="B131"/>
    <s v="P049"/>
    <s v="T131"/>
    <s v="A131"/>
    <s v="D003"/>
    <x v="3"/>
    <d v="2023-05-11T00:00:00"/>
    <d v="2023-11-05T00:00:00"/>
    <n v="4671.5"/>
    <s v="Credit Card"/>
    <s v="Failed"/>
    <s v="MedCare Plus"/>
    <s v="Check Required"/>
    <x v="0"/>
    <n v="178"/>
    <x v="0"/>
  </r>
  <r>
    <s v="B132"/>
    <s v="P020"/>
    <s v="T132"/>
    <s v="A132"/>
    <s v="D002"/>
    <x v="3"/>
    <d v="2023-07-26T00:00:00"/>
    <d v="2023-07-26T00:00:00"/>
    <n v="2929.81"/>
    <s v="Credit Card"/>
    <s v="Failed"/>
    <s v="MedCare Plus"/>
    <s v="Check Required"/>
    <x v="0"/>
    <n v="0"/>
    <x v="2"/>
  </r>
  <r>
    <s v="B133"/>
    <s v="P048"/>
    <s v="T133"/>
    <s v="A133"/>
    <s v="D001"/>
    <x v="1"/>
    <d v="2023-03-23T00:00:00"/>
    <d v="2023-03-23T00:00:00"/>
    <n v="4289.1499999999996"/>
    <s v="Insurance"/>
    <s v="Paid"/>
    <s v="PulseSecure"/>
    <s v="Clear"/>
    <x v="2"/>
    <n v="0"/>
    <x v="0"/>
  </r>
  <r>
    <s v="B134"/>
    <s v="P025"/>
    <s v="T134"/>
    <s v="A134"/>
    <s v="D006"/>
    <x v="2"/>
    <d v="2023-10-17T00:00:00"/>
    <d v="2023-10-17T00:00:00"/>
    <n v="2844.31"/>
    <s v="Insurance"/>
    <s v="Failed"/>
    <s v="HealthIndia"/>
    <s v="Check Required"/>
    <x v="0"/>
    <n v="0"/>
    <x v="1"/>
  </r>
  <r>
    <s v="B135"/>
    <s v="P022"/>
    <s v="T135"/>
    <s v="A135"/>
    <s v="D005"/>
    <x v="0"/>
    <d v="2023-09-09T00:00:00"/>
    <d v="2023-09-09T00:00:00"/>
    <n v="3306.14"/>
    <s v="Credit Card"/>
    <s v="Pending"/>
    <s v="MedCare Plus"/>
    <s v="Check Required"/>
    <x v="2"/>
    <n v="0"/>
    <x v="1"/>
  </r>
  <r>
    <s v="B136"/>
    <s v="P013"/>
    <s v="T136"/>
    <s v="A136"/>
    <s v="D009"/>
    <x v="0"/>
    <d v="2023-05-13T00:00:00"/>
    <d v="2023-05-13T00:00:00"/>
    <n v="901.06"/>
    <s v="Credit Card"/>
    <s v="Failed"/>
    <s v="WellnessCorp"/>
    <s v="Check Required"/>
    <x v="0"/>
    <n v="0"/>
    <x v="1"/>
  </r>
  <r>
    <s v="B137"/>
    <s v="P019"/>
    <s v="T137"/>
    <s v="A137"/>
    <s v="D001"/>
    <x v="1"/>
    <d v="2023-10-25T00:00:00"/>
    <d v="2023-10-25T00:00:00"/>
    <n v="3898.72"/>
    <s v="Credit Card"/>
    <s v="Pending"/>
    <s v="WellnessCorp"/>
    <s v="Check Required"/>
    <x v="2"/>
    <n v="0"/>
    <x v="0"/>
  </r>
  <r>
    <s v="B138"/>
    <s v="P049"/>
    <s v="T138"/>
    <s v="A138"/>
    <s v="D007"/>
    <x v="4"/>
    <d v="2023-12-26T00:00:00"/>
    <d v="2023-12-26T00:00:00"/>
    <n v="1074.71"/>
    <s v="Cash"/>
    <s v="Paid"/>
    <s v="MedCare Plus"/>
    <s v="Clear"/>
    <x v="1"/>
    <n v="0"/>
    <x v="0"/>
  </r>
  <r>
    <s v="B139"/>
    <s v="P036"/>
    <s v="T139"/>
    <s v="A139"/>
    <s v="D005"/>
    <x v="0"/>
    <d v="2023-10-10T00:00:00"/>
    <d v="2023-10-10T00:00:00"/>
    <n v="4217.3"/>
    <s v="Insurance"/>
    <s v="Pending"/>
    <s v="MedCare Plus"/>
    <s v="Check Required"/>
    <x v="2"/>
    <n v="0"/>
    <x v="2"/>
  </r>
  <r>
    <s v="B140"/>
    <s v="P012"/>
    <s v="T140"/>
    <s v="A140"/>
    <s v="D005"/>
    <x v="0"/>
    <d v="2023-02-05T00:00:00"/>
    <d v="2023-05-02T00:00:00"/>
    <n v="4019.13"/>
    <s v="Cash"/>
    <s v="Pending"/>
    <s v="MedCare Plus"/>
    <s v="Check Required"/>
    <x v="2"/>
    <n v="86"/>
    <x v="0"/>
  </r>
  <r>
    <s v="B141"/>
    <s v="P041"/>
    <s v="T141"/>
    <s v="A141"/>
    <s v="D002"/>
    <x v="3"/>
    <d v="2023-06-15T00:00:00"/>
    <d v="2023-06-15T00:00:00"/>
    <n v="3689.35"/>
    <s v="Insurance"/>
    <s v="Pending"/>
    <s v="WellnessCorp"/>
    <s v="Check Required"/>
    <x v="0"/>
    <n v="0"/>
    <x v="2"/>
  </r>
  <r>
    <s v="B142"/>
    <s v="P019"/>
    <s v="T142"/>
    <s v="A142"/>
    <s v="D003"/>
    <x v="3"/>
    <d v="2023-11-01T00:00:00"/>
    <d v="2023-01-11T00:00:00"/>
    <n v="662.72"/>
    <s v="Insurance"/>
    <s v="Paid"/>
    <s v="WellnessCorp"/>
    <s v="Clear"/>
    <x v="0"/>
    <n v="-294"/>
    <x v="0"/>
  </r>
  <r>
    <s v="B143"/>
    <s v="P012"/>
    <s v="T143"/>
    <s v="A143"/>
    <s v="D007"/>
    <x v="4"/>
    <d v="2023-09-21T00:00:00"/>
    <d v="2023-09-21T00:00:00"/>
    <n v="1864.08"/>
    <s v="Insurance"/>
    <s v="Failed"/>
    <s v="MedCare Plus"/>
    <s v="Check Required"/>
    <x v="1"/>
    <n v="0"/>
    <x v="0"/>
  </r>
  <r>
    <s v="B144"/>
    <s v="P009"/>
    <s v="T144"/>
    <s v="A144"/>
    <s v="D006"/>
    <x v="2"/>
    <d v="2023-08-16T00:00:00"/>
    <d v="2023-08-16T00:00:00"/>
    <n v="1684.01"/>
    <s v="Insurance"/>
    <s v="Failed"/>
    <s v="PulseSecure"/>
    <s v="Check Required"/>
    <x v="0"/>
    <n v="0"/>
    <x v="2"/>
  </r>
  <r>
    <s v="B145"/>
    <s v="P007"/>
    <s v="T145"/>
    <s v="A145"/>
    <s v="D002"/>
    <x v="3"/>
    <d v="2023-11-11T00:00:00"/>
    <d v="2023-11-11T00:00:00"/>
    <n v="2120.61"/>
    <s v="Insurance"/>
    <s v="Paid"/>
    <s v="MedCare Plus"/>
    <s v="Clear"/>
    <x v="0"/>
    <n v="0"/>
    <x v="1"/>
  </r>
  <r>
    <s v="B146"/>
    <s v="P028"/>
    <s v="T146"/>
    <s v="A146"/>
    <s v="D006"/>
    <x v="2"/>
    <d v="2023-01-05T00:00:00"/>
    <d v="2023-05-01T00:00:00"/>
    <n v="894.39"/>
    <s v="Insurance"/>
    <s v="Pending"/>
    <s v="MedCare Plus"/>
    <s v="Check Required"/>
    <x v="0"/>
    <n v="116"/>
    <x v="0"/>
  </r>
  <r>
    <s v="B147"/>
    <s v="P014"/>
    <s v="T147"/>
    <s v="A147"/>
    <s v="D002"/>
    <x v="3"/>
    <d v="2023-11-13T00:00:00"/>
    <d v="2023-11-13T00:00:00"/>
    <n v="4716.3100000000004"/>
    <s v="Insurance"/>
    <s v="Failed"/>
    <s v="MedCare Plus"/>
    <s v="Check Required"/>
    <x v="0"/>
    <n v="0"/>
    <x v="0"/>
  </r>
  <r>
    <s v="B148"/>
    <s v="P031"/>
    <s v="T148"/>
    <s v="A148"/>
    <s v="D002"/>
    <x v="3"/>
    <d v="2023-12-06T00:00:00"/>
    <d v="2023-06-12T00:00:00"/>
    <n v="2992.11"/>
    <s v="Cash"/>
    <s v="Paid"/>
    <s v="WellnessCorp"/>
    <s v="Clear"/>
    <x v="0"/>
    <n v="-177"/>
    <x v="2"/>
  </r>
  <r>
    <s v="B149"/>
    <s v="P019"/>
    <s v="T149"/>
    <s v="A149"/>
    <s v="D002"/>
    <x v="3"/>
    <d v="2023-07-26T00:00:00"/>
    <d v="2023-07-26T00:00:00"/>
    <n v="1874.86"/>
    <s v="Credit Card"/>
    <s v="Failed"/>
    <s v="WellnessCorp"/>
    <s v="Check Required"/>
    <x v="0"/>
    <n v="0"/>
    <x v="0"/>
  </r>
  <r>
    <s v="B150"/>
    <s v="P047"/>
    <s v="T150"/>
    <s v="A150"/>
    <s v="D003"/>
    <x v="3"/>
    <d v="2023-08-16T00:00:00"/>
    <d v="2023-08-16T00:00:00"/>
    <n v="2286.42"/>
    <s v="Credit Card"/>
    <s v="Paid"/>
    <s v="WellnessCorp"/>
    <s v="Clear"/>
    <x v="0"/>
    <n v="0"/>
    <x v="2"/>
  </r>
  <r>
    <s v="B151"/>
    <s v="P016"/>
    <s v="T151"/>
    <s v="A151"/>
    <s v="D002"/>
    <x v="3"/>
    <d v="2023-01-28T00:00:00"/>
    <d v="2023-01-28T00:00:00"/>
    <n v="2512.41"/>
    <s v="Cash"/>
    <s v="Pending"/>
    <s v="PulseSecure"/>
    <s v="Check Required"/>
    <x v="0"/>
    <n v="0"/>
    <x v="1"/>
  </r>
  <r>
    <s v="B152"/>
    <s v="P005"/>
    <s v="T152"/>
    <s v="A152"/>
    <s v="D004"/>
    <x v="1"/>
    <d v="2023-04-14T00:00:00"/>
    <d v="2023-04-14T00:00:00"/>
    <n v="3202.67"/>
    <s v="Cash"/>
    <s v="Failed"/>
    <s v="MedCare Plus"/>
    <s v="Check Required"/>
    <x v="0"/>
    <n v="0"/>
    <x v="1"/>
  </r>
  <r>
    <s v="B153"/>
    <s v="P035"/>
    <s v="T153"/>
    <s v="A153"/>
    <s v="D009"/>
    <x v="0"/>
    <d v="2023-07-08T00:00:00"/>
    <d v="2023-08-07T00:00:00"/>
    <n v="2820.56"/>
    <s v="Cash"/>
    <s v="Paid"/>
    <s v="MedCare Plus"/>
    <s v="Clear"/>
    <x v="0"/>
    <n v="30"/>
    <x v="0"/>
  </r>
  <r>
    <s v="B154"/>
    <s v="P012"/>
    <s v="T154"/>
    <s v="A154"/>
    <s v="D006"/>
    <x v="2"/>
    <d v="2023-03-06T00:00:00"/>
    <d v="2023-06-03T00:00:00"/>
    <n v="4637.26"/>
    <s v="Cash"/>
    <s v="Failed"/>
    <s v="MedCare Plus"/>
    <s v="Check Required"/>
    <x v="0"/>
    <n v="89"/>
    <x v="0"/>
  </r>
  <r>
    <s v="B155"/>
    <s v="P025"/>
    <s v="T155"/>
    <s v="A155"/>
    <s v="D001"/>
    <x v="1"/>
    <d v="2023-01-03T00:00:00"/>
    <d v="2023-03-01T00:00:00"/>
    <n v="2736.34"/>
    <s v="Insurance"/>
    <s v="Failed"/>
    <s v="HealthIndia"/>
    <s v="Check Required"/>
    <x v="2"/>
    <n v="57"/>
    <x v="1"/>
  </r>
  <r>
    <s v="B156"/>
    <s v="P021"/>
    <s v="T156"/>
    <s v="A156"/>
    <s v="D008"/>
    <x v="5"/>
    <d v="2023-11-22T00:00:00"/>
    <d v="2023-11-22T00:00:00"/>
    <n v="4964.71"/>
    <s v="Credit Card"/>
    <s v="Failed"/>
    <s v="WellnessCorp"/>
    <s v="Check Required"/>
    <x v="2"/>
    <n v="0"/>
    <x v="2"/>
  </r>
  <r>
    <s v="B157"/>
    <s v="P036"/>
    <s v="T157"/>
    <s v="A157"/>
    <s v="D007"/>
    <x v="4"/>
    <d v="2023-05-12T00:00:00"/>
    <d v="2023-12-05T00:00:00"/>
    <n v="4331.41"/>
    <s v="Insurance"/>
    <s v="Failed"/>
    <s v="MedCare Plus"/>
    <s v="Check Required"/>
    <x v="1"/>
    <n v="207"/>
    <x v="2"/>
  </r>
  <r>
    <s v="B158"/>
    <s v="P023"/>
    <s v="T158"/>
    <s v="A158"/>
    <s v="D010"/>
    <x v="5"/>
    <d v="2023-07-12T00:00:00"/>
    <d v="2023-12-07T00:00:00"/>
    <n v="1438.3"/>
    <s v="Credit Card"/>
    <s v="Paid"/>
    <s v="WellnessCorp"/>
    <s v="Clear"/>
    <x v="1"/>
    <n v="148"/>
    <x v="1"/>
  </r>
  <r>
    <s v="B159"/>
    <s v="P016"/>
    <s v="T159"/>
    <s v="A159"/>
    <s v="D003"/>
    <x v="3"/>
    <d v="2023-04-08T00:00:00"/>
    <d v="2023-08-04T00:00:00"/>
    <n v="4687.68"/>
    <s v="Credit Card"/>
    <s v="Pending"/>
    <s v="PulseSecure"/>
    <s v="Check Required"/>
    <x v="0"/>
    <n v="118"/>
    <x v="1"/>
  </r>
  <r>
    <s v="B160"/>
    <s v="P039"/>
    <s v="T160"/>
    <s v="A160"/>
    <s v="D001"/>
    <x v="1"/>
    <d v="2023-12-17T00:00:00"/>
    <d v="2023-12-17T00:00:00"/>
    <n v="1023.65"/>
    <s v="Cash"/>
    <s v="Paid"/>
    <s v="PulseSecure"/>
    <s v="Clear"/>
    <x v="2"/>
    <n v="0"/>
    <x v="1"/>
  </r>
  <r>
    <s v="B161"/>
    <s v="P045"/>
    <s v="T161"/>
    <s v="A161"/>
    <s v="D005"/>
    <x v="0"/>
    <d v="2023-06-17T00:00:00"/>
    <d v="2023-06-17T00:00:00"/>
    <n v="4178.5200000000004"/>
    <s v="Insurance"/>
    <s v="Paid"/>
    <s v="MedCare Plus"/>
    <s v="Clear"/>
    <x v="2"/>
    <n v="0"/>
    <x v="1"/>
  </r>
  <r>
    <s v="B162"/>
    <s v="P042"/>
    <s v="T162"/>
    <s v="A162"/>
    <s v="D004"/>
    <x v="1"/>
    <d v="2023-01-01T00:00:00"/>
    <d v="2023-01-01T00:00:00"/>
    <n v="2212.8000000000002"/>
    <s v="Cash"/>
    <s v="Paid"/>
    <s v="MedCare Plus"/>
    <s v="Clear"/>
    <x v="0"/>
    <n v="0"/>
    <x v="2"/>
  </r>
  <r>
    <s v="B163"/>
    <s v="P039"/>
    <s v="T163"/>
    <s v="A163"/>
    <s v="D010"/>
    <x v="5"/>
    <d v="2023-06-27T00:00:00"/>
    <d v="2023-06-27T00:00:00"/>
    <n v="4450.88"/>
    <s v="Insurance"/>
    <s v="Pending"/>
    <s v="PulseSecure"/>
    <s v="Check Required"/>
    <x v="1"/>
    <n v="0"/>
    <x v="1"/>
  </r>
  <r>
    <s v="B164"/>
    <s v="P014"/>
    <s v="T164"/>
    <s v="A164"/>
    <s v="D008"/>
    <x v="5"/>
    <d v="2023-07-28T00:00:00"/>
    <d v="2023-07-28T00:00:00"/>
    <n v="4406.26"/>
    <s v="Credit Card"/>
    <s v="Failed"/>
    <s v="MedCare Plus"/>
    <s v="Check Required"/>
    <x v="2"/>
    <n v="0"/>
    <x v="0"/>
  </r>
  <r>
    <s v="B165"/>
    <s v="P031"/>
    <s v="T165"/>
    <s v="A165"/>
    <s v="D001"/>
    <x v="1"/>
    <d v="2023-04-04T00:00:00"/>
    <d v="2023-04-04T00:00:00"/>
    <n v="4126.66"/>
    <s v="Cash"/>
    <s v="Failed"/>
    <s v="WellnessCorp"/>
    <s v="Check Required"/>
    <x v="2"/>
    <n v="0"/>
    <x v="2"/>
  </r>
  <r>
    <s v="B166"/>
    <s v="P005"/>
    <s v="T166"/>
    <s v="A166"/>
    <s v="D010"/>
    <x v="5"/>
    <d v="2023-01-12T00:00:00"/>
    <d v="2023-12-01T00:00:00"/>
    <n v="4055.14"/>
    <s v="Cash"/>
    <s v="Failed"/>
    <s v="MedCare Plus"/>
    <s v="Check Required"/>
    <x v="1"/>
    <n v="323"/>
    <x v="1"/>
  </r>
  <r>
    <s v="B167"/>
    <s v="P035"/>
    <s v="T167"/>
    <s v="A167"/>
    <s v="D001"/>
    <x v="1"/>
    <d v="2023-11-15T00:00:00"/>
    <d v="2023-11-15T00:00:00"/>
    <n v="1871.06"/>
    <s v="Credit Card"/>
    <s v="Pending"/>
    <s v="MedCare Plus"/>
    <s v="Check Required"/>
    <x v="2"/>
    <n v="0"/>
    <x v="0"/>
  </r>
  <r>
    <s v="B168"/>
    <s v="P023"/>
    <s v="T168"/>
    <s v="A168"/>
    <s v="D004"/>
    <x v="1"/>
    <d v="2023-09-29T00:00:00"/>
    <d v="2023-09-29T00:00:00"/>
    <n v="864.14"/>
    <s v="Credit Card"/>
    <s v="Failed"/>
    <s v="WellnessCorp"/>
    <s v="Check Required"/>
    <x v="0"/>
    <n v="0"/>
    <x v="1"/>
  </r>
  <r>
    <s v="B169"/>
    <s v="P029"/>
    <s v="T169"/>
    <s v="A169"/>
    <s v="D008"/>
    <x v="5"/>
    <d v="2023-07-24T00:00:00"/>
    <d v="2023-07-24T00:00:00"/>
    <n v="2313.41"/>
    <s v="Credit Card"/>
    <s v="Pending"/>
    <s v="HealthIndia"/>
    <s v="Check Required"/>
    <x v="2"/>
    <n v="0"/>
    <x v="0"/>
  </r>
  <r>
    <s v="B170"/>
    <s v="P043"/>
    <s v="T170"/>
    <s v="A170"/>
    <s v="D005"/>
    <x v="0"/>
    <d v="2023-03-03T00:00:00"/>
    <d v="2023-03-03T00:00:00"/>
    <n v="1280.8599999999999"/>
    <s v="Cash"/>
    <s v="Failed"/>
    <s v="WellnessCorp"/>
    <s v="Check Required"/>
    <x v="2"/>
    <n v="0"/>
    <x v="2"/>
  </r>
  <r>
    <s v="B171"/>
    <s v="P011"/>
    <s v="T171"/>
    <s v="A171"/>
    <s v="D002"/>
    <x v="3"/>
    <d v="2023-04-18T00:00:00"/>
    <d v="2023-04-18T00:00:00"/>
    <n v="3627.28"/>
    <s v="Insurance"/>
    <s v="Failed"/>
    <s v="MedCare Plus"/>
    <s v="Check Required"/>
    <x v="0"/>
    <n v="0"/>
    <x v="2"/>
  </r>
  <r>
    <s v="B172"/>
    <s v="P018"/>
    <s v="T172"/>
    <s v="A172"/>
    <s v="D006"/>
    <x v="2"/>
    <d v="2023-03-09T00:00:00"/>
    <d v="2023-09-03T00:00:00"/>
    <n v="2057.4499999999998"/>
    <s v="Cash"/>
    <s v="Paid"/>
    <s v="PulseSecure"/>
    <s v="Clear"/>
    <x v="0"/>
    <n v="178"/>
    <x v="2"/>
  </r>
  <r>
    <s v="B173"/>
    <s v="P047"/>
    <s v="T173"/>
    <s v="A173"/>
    <s v="D005"/>
    <x v="0"/>
    <d v="2023-06-04T00:00:00"/>
    <d v="2023-04-06T00:00:00"/>
    <n v="4890.25"/>
    <s v="Insurance"/>
    <s v="Pending"/>
    <s v="WellnessCorp"/>
    <s v="Check Required"/>
    <x v="2"/>
    <n v="-59"/>
    <x v="2"/>
  </r>
  <r>
    <s v="B174"/>
    <s v="P012"/>
    <s v="T174"/>
    <s v="A174"/>
    <s v="D002"/>
    <x v="3"/>
    <d v="2023-10-31T00:00:00"/>
    <d v="2023-10-31T00:00:00"/>
    <n v="3384.37"/>
    <s v="Cash"/>
    <s v="Paid"/>
    <s v="MedCare Plus"/>
    <s v="Clear"/>
    <x v="0"/>
    <n v="0"/>
    <x v="0"/>
  </r>
  <r>
    <s v="B175"/>
    <s v="P009"/>
    <s v="T175"/>
    <s v="A175"/>
    <s v="D003"/>
    <x v="3"/>
    <d v="2023-10-22T00:00:00"/>
    <d v="2023-10-22T00:00:00"/>
    <n v="4201.16"/>
    <s v="Cash"/>
    <s v="Paid"/>
    <s v="PulseSecure"/>
    <s v="Clear"/>
    <x v="0"/>
    <n v="0"/>
    <x v="2"/>
  </r>
  <r>
    <s v="B176"/>
    <s v="P010"/>
    <s v="T176"/>
    <s v="A176"/>
    <s v="D009"/>
    <x v="0"/>
    <d v="2023-04-26T00:00:00"/>
    <d v="2023-04-26T00:00:00"/>
    <n v="1096.3599999999999"/>
    <s v="Credit Card"/>
    <s v="Paid"/>
    <s v="WellnessCorp"/>
    <s v="Clear"/>
    <x v="0"/>
    <n v="0"/>
    <x v="2"/>
  </r>
  <r>
    <s v="B177"/>
    <s v="P044"/>
    <s v="T177"/>
    <s v="A177"/>
    <s v="D007"/>
    <x v="4"/>
    <d v="2023-08-16T00:00:00"/>
    <d v="2023-08-16T00:00:00"/>
    <n v="4379.07"/>
    <s v="Insurance"/>
    <s v="Pending"/>
    <s v="PulseSecure"/>
    <s v="Check Required"/>
    <x v="1"/>
    <n v="0"/>
    <x v="0"/>
  </r>
  <r>
    <s v="B178"/>
    <s v="P017"/>
    <s v="T178"/>
    <s v="A178"/>
    <s v="D007"/>
    <x v="4"/>
    <d v="2023-01-17T00:00:00"/>
    <d v="2023-01-17T00:00:00"/>
    <n v="4652.41"/>
    <s v="Cash"/>
    <s v="Pending"/>
    <s v="WellnessCorp"/>
    <s v="Check Required"/>
    <x v="1"/>
    <n v="0"/>
    <x v="2"/>
  </r>
  <r>
    <s v="B179"/>
    <s v="P038"/>
    <s v="T179"/>
    <s v="A179"/>
    <s v="D006"/>
    <x v="2"/>
    <d v="2023-03-08T00:00:00"/>
    <d v="2023-08-03T00:00:00"/>
    <n v="2691.78"/>
    <s v="Cash"/>
    <s v="Failed"/>
    <s v="MedCare Plus"/>
    <s v="Check Required"/>
    <x v="0"/>
    <n v="148"/>
    <x v="1"/>
  </r>
  <r>
    <s v="B180"/>
    <s v="P007"/>
    <s v="T180"/>
    <s v="A180"/>
    <s v="D008"/>
    <x v="5"/>
    <d v="2023-01-07T00:00:00"/>
    <d v="2023-07-01T00:00:00"/>
    <n v="3228.14"/>
    <s v="Credit Card"/>
    <s v="Paid"/>
    <s v="MedCare Plus"/>
    <s v="Clear"/>
    <x v="2"/>
    <n v="175"/>
    <x v="1"/>
  </r>
  <r>
    <s v="B181"/>
    <s v="P046"/>
    <s v="T181"/>
    <s v="A181"/>
    <s v="D004"/>
    <x v="1"/>
    <d v="2023-09-03T00:00:00"/>
    <d v="2023-03-09T00:00:00"/>
    <n v="3941.64"/>
    <s v="Credit Card"/>
    <s v="Failed"/>
    <s v="MedCare Plus"/>
    <s v="Check Required"/>
    <x v="0"/>
    <n v="-178"/>
    <x v="1"/>
  </r>
  <r>
    <s v="B182"/>
    <s v="P013"/>
    <s v="T182"/>
    <s v="A182"/>
    <s v="D008"/>
    <x v="5"/>
    <d v="2023-04-12T00:00:00"/>
    <d v="2023-12-04T00:00:00"/>
    <n v="1286.77"/>
    <s v="Insurance"/>
    <s v="Paid"/>
    <s v="WellnessCorp"/>
    <s v="Clear"/>
    <x v="2"/>
    <n v="236"/>
    <x v="1"/>
  </r>
  <r>
    <s v="B183"/>
    <s v="P040"/>
    <s v="T183"/>
    <s v="A183"/>
    <s v="D004"/>
    <x v="1"/>
    <d v="2023-02-03T00:00:00"/>
    <d v="2023-03-02T00:00:00"/>
    <n v="2761.55"/>
    <s v="Cash"/>
    <s v="Pending"/>
    <s v="PulseSecure"/>
    <s v="Check Required"/>
    <x v="0"/>
    <n v="27"/>
    <x v="1"/>
  </r>
  <r>
    <s v="B184"/>
    <s v="P042"/>
    <s v="T184"/>
    <s v="A184"/>
    <s v="D008"/>
    <x v="5"/>
    <d v="2023-02-26T00:00:00"/>
    <d v="2023-02-26T00:00:00"/>
    <n v="2293.98"/>
    <s v="Insurance"/>
    <s v="Pending"/>
    <s v="MedCare Plus"/>
    <s v="Check Required"/>
    <x v="2"/>
    <n v="0"/>
    <x v="2"/>
  </r>
  <r>
    <s v="B185"/>
    <s v="P009"/>
    <s v="T185"/>
    <s v="A185"/>
    <s v="D009"/>
    <x v="0"/>
    <d v="2023-03-21T00:00:00"/>
    <d v="2023-03-21T00:00:00"/>
    <n v="1158.68"/>
    <s v="Cash"/>
    <s v="Pending"/>
    <s v="PulseSecure"/>
    <s v="Check Required"/>
    <x v="0"/>
    <n v="0"/>
    <x v="2"/>
  </r>
  <r>
    <s v="B186"/>
    <s v="P050"/>
    <s v="T186"/>
    <s v="A186"/>
    <s v="D003"/>
    <x v="3"/>
    <d v="2023-03-27T00:00:00"/>
    <d v="2023-03-27T00:00:00"/>
    <n v="2153.9"/>
    <s v="Insurance"/>
    <s v="Paid"/>
    <s v="WellnessCorp"/>
    <s v="Clear"/>
    <x v="0"/>
    <n v="0"/>
    <x v="0"/>
  </r>
  <r>
    <s v="B187"/>
    <s v="P027"/>
    <s v="T187"/>
    <s v="A187"/>
    <s v="D003"/>
    <x v="3"/>
    <d v="2023-02-13T00:00:00"/>
    <d v="2023-02-13T00:00:00"/>
    <n v="806.78"/>
    <s v="Credit Card"/>
    <s v="Pending"/>
    <s v="HealthIndia"/>
    <s v="Check Required"/>
    <x v="0"/>
    <n v="0"/>
    <x v="1"/>
  </r>
  <r>
    <s v="B188"/>
    <s v="P002"/>
    <s v="T188"/>
    <s v="A188"/>
    <s v="D002"/>
    <x v="3"/>
    <d v="2023-04-12T00:00:00"/>
    <d v="2023-12-04T00:00:00"/>
    <n v="616.15"/>
    <s v="Cash"/>
    <s v="Paid"/>
    <s v="PulseSecure"/>
    <s v="Clear"/>
    <x v="0"/>
    <n v="236"/>
    <x v="2"/>
  </r>
  <r>
    <s v="B189"/>
    <s v="P005"/>
    <s v="T189"/>
    <s v="A189"/>
    <s v="D010"/>
    <x v="5"/>
    <d v="2023-10-05T00:00:00"/>
    <d v="2023-05-10T00:00:00"/>
    <n v="1108.25"/>
    <s v="Insurance"/>
    <s v="Failed"/>
    <s v="MedCare Plus"/>
    <s v="Check Required"/>
    <x v="1"/>
    <n v="-148"/>
    <x v="1"/>
  </r>
  <r>
    <s v="B190"/>
    <s v="P029"/>
    <s v="T190"/>
    <s v="A190"/>
    <s v="D003"/>
    <x v="3"/>
    <d v="2023-11-16T00:00:00"/>
    <d v="2023-11-16T00:00:00"/>
    <n v="4834.0200000000004"/>
    <s v="Credit Card"/>
    <s v="Paid"/>
    <s v="HealthIndia"/>
    <s v="Clear"/>
    <x v="0"/>
    <n v="0"/>
    <x v="0"/>
  </r>
  <r>
    <s v="B191"/>
    <s v="P037"/>
    <s v="T191"/>
    <s v="A191"/>
    <s v="D003"/>
    <x v="3"/>
    <d v="2023-04-12T00:00:00"/>
    <d v="2023-12-04T00:00:00"/>
    <n v="2972.88"/>
    <s v="Credit Card"/>
    <s v="Failed"/>
    <s v="HealthIndia"/>
    <s v="Check Required"/>
    <x v="0"/>
    <n v="236"/>
    <x v="1"/>
  </r>
  <r>
    <s v="B192"/>
    <s v="P038"/>
    <s v="T192"/>
    <s v="A192"/>
    <s v="D005"/>
    <x v="0"/>
    <d v="2023-08-31T00:00:00"/>
    <d v="2023-08-31T00:00:00"/>
    <n v="4846.2"/>
    <s v="Insurance"/>
    <s v="Paid"/>
    <s v="MedCare Plus"/>
    <s v="Clear"/>
    <x v="2"/>
    <n v="0"/>
    <x v="1"/>
  </r>
  <r>
    <s v="B193"/>
    <s v="P019"/>
    <s v="T193"/>
    <s v="A193"/>
    <s v="D005"/>
    <x v="0"/>
    <d v="2023-09-15T00:00:00"/>
    <d v="2023-09-15T00:00:00"/>
    <n v="2446.2399999999998"/>
    <s v="Cash"/>
    <s v="Failed"/>
    <s v="WellnessCorp"/>
    <s v="Check Required"/>
    <x v="2"/>
    <n v="0"/>
    <x v="0"/>
  </r>
  <r>
    <s v="B194"/>
    <s v="P008"/>
    <s v="T194"/>
    <s v="A194"/>
    <s v="D002"/>
    <x v="3"/>
    <d v="2023-04-06T00:00:00"/>
    <d v="2023-06-04T00:00:00"/>
    <n v="1903.17"/>
    <s v="Cash"/>
    <s v="Pending"/>
    <s v="WellnessCorp"/>
    <s v="Check Required"/>
    <x v="0"/>
    <n v="59"/>
    <x v="1"/>
  </r>
  <r>
    <s v="B195"/>
    <s v="P048"/>
    <s v="T195"/>
    <s v="A195"/>
    <s v="D010"/>
    <x v="5"/>
    <d v="2023-08-19T00:00:00"/>
    <d v="2023-08-19T00:00:00"/>
    <n v="2777.64"/>
    <s v="Credit Card"/>
    <s v="Failed"/>
    <s v="PulseSecure"/>
    <s v="Check Required"/>
    <x v="1"/>
    <n v="0"/>
    <x v="0"/>
  </r>
  <r>
    <s v="B196"/>
    <s v="P045"/>
    <s v="T196"/>
    <s v="A196"/>
    <s v="D006"/>
    <x v="2"/>
    <d v="2023-10-26T00:00:00"/>
    <d v="2023-10-26T00:00:00"/>
    <n v="2477.8000000000002"/>
    <s v="Cash"/>
    <s v="Pending"/>
    <s v="MedCare Plus"/>
    <s v="Check Required"/>
    <x v="0"/>
    <n v="0"/>
    <x v="1"/>
  </r>
  <r>
    <s v="B197"/>
    <s v="P001"/>
    <s v="T197"/>
    <s v="A197"/>
    <s v="D005"/>
    <x v="0"/>
    <d v="2023-04-01T00:00:00"/>
    <d v="2023-01-04T00:00:00"/>
    <n v="975.49"/>
    <s v="Cash"/>
    <s v="Pending"/>
    <s v="WellnessCorp"/>
    <s v="Check Required"/>
    <x v="2"/>
    <n v="-87"/>
    <x v="2"/>
  </r>
  <r>
    <s v="B198"/>
    <s v="P022"/>
    <s v="T198"/>
    <s v="A198"/>
    <s v="D006"/>
    <x v="2"/>
    <d v="2023-05-15T00:00:00"/>
    <d v="2023-05-15T00:00:00"/>
    <n v="3383.72"/>
    <s v="Cash"/>
    <s v="Failed"/>
    <s v="MedCare Plus"/>
    <s v="Check Required"/>
    <x v="0"/>
    <n v="0"/>
    <x v="1"/>
  </r>
  <r>
    <s v="B199"/>
    <s v="P017"/>
    <s v="T199"/>
    <s v="A199"/>
    <s v="D001"/>
    <x v="1"/>
    <d v="2023-05-01T00:00:00"/>
    <d v="2023-01-05T00:00:00"/>
    <n v="1472.17"/>
    <s v="Credit Card"/>
    <s v="Paid"/>
    <s v="WellnessCorp"/>
    <s v="Clear"/>
    <x v="2"/>
    <n v="-116"/>
    <x v="2"/>
  </r>
  <r>
    <s v="B200"/>
    <s v="P007"/>
    <s v="T200"/>
    <s v="A200"/>
    <s v="D005"/>
    <x v="0"/>
    <d v="2023-12-30T00:00:00"/>
    <d v="2023-12-30T00:00:00"/>
    <n v="3288.15"/>
    <s v="Insurance"/>
    <s v="Paid"/>
    <s v="MedCare Plus"/>
    <s v="Clear"/>
    <x v="2"/>
    <n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A001"/>
    <s v="P034"/>
    <s v="D009"/>
    <s v="Sarah Smith"/>
    <d v="2023-08-09T00:00:00"/>
    <x v="0"/>
    <s v="Therapy"/>
    <s v="Scheduled"/>
    <s v="August"/>
    <x v="0"/>
  </r>
  <r>
    <s v="A002"/>
    <s v="P032"/>
    <s v="D004"/>
    <s v="David Jones"/>
    <d v="2023-06-09T00:00:00"/>
    <x v="1"/>
    <s v="Therapy"/>
    <s v="No-show"/>
    <s v="June"/>
    <x v="1"/>
  </r>
  <r>
    <s v="A003"/>
    <s v="P048"/>
    <s v="D004"/>
    <s v="David Jones"/>
    <d v="2023-06-28T00:00:00"/>
    <x v="2"/>
    <s v="Consultation"/>
    <s v="Cancelled"/>
    <s v="June"/>
    <x v="2"/>
  </r>
  <r>
    <s v="A004"/>
    <s v="P025"/>
    <s v="D006"/>
    <s v="Alex Davis"/>
    <d v="2023-09-01T00:00:00"/>
    <x v="3"/>
    <s v="Consultation"/>
    <s v="Cancelled"/>
    <s v="September"/>
    <x v="3"/>
  </r>
  <r>
    <s v="A005"/>
    <s v="P040"/>
    <s v="D003"/>
    <s v="Jane Smith"/>
    <d v="2023-07-06T00:00:00"/>
    <x v="4"/>
    <s v="Emergency"/>
    <s v="No-show"/>
    <s v="July"/>
    <x v="4"/>
  </r>
  <r>
    <s v="A006"/>
    <s v="P045"/>
    <s v="D006"/>
    <s v="Alex Davis"/>
    <d v="2023-06-19T00:00:00"/>
    <x v="5"/>
    <s v="Checkup"/>
    <s v="Scheduled"/>
    <s v="June"/>
    <x v="5"/>
  </r>
  <r>
    <s v="A007"/>
    <s v="P001"/>
    <s v="D007"/>
    <s v="Robert Davis"/>
    <d v="2023-04-09T00:00:00"/>
    <x v="6"/>
    <s v="Consultation"/>
    <s v="Scheduled"/>
    <s v="April"/>
    <x v="6"/>
  </r>
  <r>
    <s v="A008"/>
    <s v="P016"/>
    <s v="D010"/>
    <s v="Linda Wilson"/>
    <d v="2023-05-24T00:00:00"/>
    <x v="7"/>
    <s v="Consultation"/>
    <s v="Cancelled"/>
    <s v="May"/>
    <x v="2"/>
  </r>
  <r>
    <s v="A009"/>
    <s v="P039"/>
    <s v="D010"/>
    <s v="Linda Wilson"/>
    <d v="2023-03-05T00:00:00"/>
    <x v="8"/>
    <s v="Follow-up"/>
    <s v="Scheduled"/>
    <s v="March"/>
    <x v="7"/>
  </r>
  <r>
    <s v="A010"/>
    <s v="P005"/>
    <s v="D003"/>
    <s v="Jane Smith"/>
    <d v="2023-01-13T00:00:00"/>
    <x v="9"/>
    <s v="Therapy"/>
    <s v="Completed"/>
    <s v="January"/>
    <x v="0"/>
  </r>
  <r>
    <s v="A011"/>
    <s v="P022"/>
    <s v="D007"/>
    <s v="Robert Davis"/>
    <d v="2023-11-12T00:00:00"/>
    <x v="10"/>
    <s v="Checkup"/>
    <s v="No-show"/>
    <s v="November"/>
    <x v="5"/>
  </r>
  <r>
    <s v="A012"/>
    <s v="P029"/>
    <s v="D003"/>
    <s v="Jane Smith"/>
    <d v="2023-05-07T00:00:00"/>
    <x v="11"/>
    <s v="Follow-up"/>
    <s v="Completed"/>
    <s v="May"/>
    <x v="6"/>
  </r>
  <r>
    <s v="A013"/>
    <s v="P003"/>
    <s v="D002"/>
    <s v="Jane Davis"/>
    <d v="2023-08-16T00:00:00"/>
    <x v="12"/>
    <s v="Emergency"/>
    <s v="Scheduled"/>
    <s v="August"/>
    <x v="4"/>
  </r>
  <r>
    <s v="A014"/>
    <s v="P012"/>
    <s v="D010"/>
    <s v="Linda Wilson"/>
    <d v="2023-05-25T00:00:00"/>
    <x v="6"/>
    <s v="Emergency"/>
    <s v="Cancelled"/>
    <s v="May"/>
    <x v="6"/>
  </r>
  <r>
    <s v="A015"/>
    <s v="P026"/>
    <s v="D004"/>
    <s v="David Jones"/>
    <d v="2023-01-15T00:00:00"/>
    <x v="13"/>
    <s v="Consultation"/>
    <s v="No-show"/>
    <s v="January"/>
    <x v="8"/>
  </r>
  <r>
    <s v="A016"/>
    <s v="P016"/>
    <s v="D008"/>
    <s v="Linda Brown"/>
    <d v="2023-06-30T00:00:00"/>
    <x v="14"/>
    <s v="Consultation"/>
    <s v="Scheduled"/>
    <s v="June"/>
    <x v="9"/>
  </r>
  <r>
    <s v="A017"/>
    <s v="P037"/>
    <s v="D009"/>
    <s v="Sarah Smith"/>
    <d v="2023-07-11T00:00:00"/>
    <x v="15"/>
    <s v="Emergency"/>
    <s v="Scheduled"/>
    <s v="July"/>
    <x v="8"/>
  </r>
  <r>
    <s v="A018"/>
    <s v="P022"/>
    <s v="D007"/>
    <s v="Robert Davis"/>
    <d v="2023-11-14T00:00:00"/>
    <x v="16"/>
    <s v="Consultation"/>
    <s v="Cancelled"/>
    <s v="November"/>
    <x v="3"/>
  </r>
  <r>
    <s v="A019"/>
    <s v="P029"/>
    <s v="D001"/>
    <s v="David Taylor"/>
    <d v="2023-02-06T00:00:00"/>
    <x v="9"/>
    <s v="Checkup"/>
    <s v="Cancelled"/>
    <s v="February"/>
    <x v="0"/>
  </r>
  <r>
    <s v="A020"/>
    <s v="P014"/>
    <s v="D003"/>
    <s v="Jane Smith"/>
    <d v="2023-12-05T00:00:00"/>
    <x v="0"/>
    <s v="Consultation"/>
    <s v="Completed"/>
    <s v="December"/>
    <x v="0"/>
  </r>
  <r>
    <s v="A021"/>
    <s v="P028"/>
    <s v="D009"/>
    <s v="Sarah Smith"/>
    <d v="2023-04-24T00:00:00"/>
    <x v="11"/>
    <s v="Therapy"/>
    <s v="No-show"/>
    <s v="April"/>
    <x v="6"/>
  </r>
  <r>
    <s v="A022"/>
    <s v="P005"/>
    <s v="D001"/>
    <s v="David Taylor"/>
    <d v="2023-11-14T00:00:00"/>
    <x v="17"/>
    <s v="Consultation"/>
    <s v="No-show"/>
    <s v="November"/>
    <x v="7"/>
  </r>
  <r>
    <s v="A023"/>
    <s v="P047"/>
    <s v="D009"/>
    <s v="Sarah Smith"/>
    <d v="2023-05-09T00:00:00"/>
    <x v="1"/>
    <s v="Follow-up"/>
    <s v="Cancelled"/>
    <s v="May"/>
    <x v="1"/>
  </r>
  <r>
    <s v="A024"/>
    <s v="P049"/>
    <s v="D008"/>
    <s v="Linda Brown"/>
    <d v="2023-06-21T00:00:00"/>
    <x v="2"/>
    <s v="Checkup"/>
    <s v="Completed"/>
    <s v="June"/>
    <x v="2"/>
  </r>
  <r>
    <s v="A025"/>
    <s v="P030"/>
    <s v="D001"/>
    <s v="David Taylor"/>
    <d v="2023-02-25T00:00:00"/>
    <x v="2"/>
    <s v="Follow-up"/>
    <s v="No-show"/>
    <s v="February"/>
    <x v="2"/>
  </r>
  <r>
    <s v="A026"/>
    <s v="P046"/>
    <s v="D006"/>
    <s v="Alex Davis"/>
    <d v="2023-03-17T00:00:00"/>
    <x v="18"/>
    <s v="Follow-up"/>
    <s v="Cancelled"/>
    <s v="March"/>
    <x v="1"/>
  </r>
  <r>
    <s v="A027"/>
    <s v="P005"/>
    <s v="D005"/>
    <s v="Sarah Taylor"/>
    <d v="2023-11-14T00:00:00"/>
    <x v="4"/>
    <s v="Therapy"/>
    <s v="Scheduled"/>
    <s v="November"/>
    <x v="4"/>
  </r>
  <r>
    <s v="A028"/>
    <s v="P012"/>
    <s v="D006"/>
    <s v="Alex Davis"/>
    <d v="2023-10-29T00:00:00"/>
    <x v="9"/>
    <s v="Checkup"/>
    <s v="No-show"/>
    <s v="October"/>
    <x v="0"/>
  </r>
  <r>
    <s v="A029"/>
    <s v="P016"/>
    <s v="D010"/>
    <s v="Linda Wilson"/>
    <d v="2023-06-25T00:00:00"/>
    <x v="1"/>
    <s v="Checkup"/>
    <s v="Completed"/>
    <s v="June"/>
    <x v="1"/>
  </r>
  <r>
    <s v="A030"/>
    <s v="P026"/>
    <s v="D005"/>
    <s v="Sarah Taylor"/>
    <d v="2023-08-29T00:00:00"/>
    <x v="19"/>
    <s v="Checkup"/>
    <s v="Completed"/>
    <s v="August"/>
    <x v="7"/>
  </r>
  <r>
    <s v="A031"/>
    <s v="P026"/>
    <s v="D006"/>
    <s v="Alex Davis"/>
    <d v="2023-04-04T00:00:00"/>
    <x v="6"/>
    <s v="Checkup"/>
    <s v="Completed"/>
    <s v="April"/>
    <x v="6"/>
  </r>
  <r>
    <s v="A032"/>
    <s v="P048"/>
    <s v="D005"/>
    <s v="Sarah Taylor"/>
    <d v="2023-11-06T00:00:00"/>
    <x v="20"/>
    <s v="Checkup"/>
    <s v="Scheduled"/>
    <s v="November"/>
    <x v="6"/>
  </r>
  <r>
    <s v="A033"/>
    <s v="P021"/>
    <s v="D005"/>
    <s v="Sarah Taylor"/>
    <d v="2023-09-23T00:00:00"/>
    <x v="21"/>
    <s v="Therapy"/>
    <s v="No-show"/>
    <s v="September"/>
    <x v="8"/>
  </r>
  <r>
    <s v="A034"/>
    <s v="P039"/>
    <s v="D004"/>
    <s v="David Jones"/>
    <d v="2023-06-13T00:00:00"/>
    <x v="22"/>
    <s v="Consultation"/>
    <s v="No-show"/>
    <s v="June"/>
    <x v="9"/>
  </r>
  <r>
    <s v="A035"/>
    <s v="P036"/>
    <s v="D003"/>
    <s v="Jane Smith"/>
    <d v="2023-04-18T00:00:00"/>
    <x v="7"/>
    <s v="Follow-up"/>
    <s v="Scheduled"/>
    <s v="April"/>
    <x v="2"/>
  </r>
  <r>
    <s v="A036"/>
    <s v="P033"/>
    <s v="D003"/>
    <s v="Jane Smith"/>
    <d v="2023-01-08T00:00:00"/>
    <x v="1"/>
    <s v="Checkup"/>
    <s v="No-show"/>
    <s v="January"/>
    <x v="1"/>
  </r>
  <r>
    <s v="A037"/>
    <s v="P030"/>
    <s v="D004"/>
    <s v="David Jones"/>
    <d v="2023-03-28T00:00:00"/>
    <x v="14"/>
    <s v="Consultation"/>
    <s v="Scheduled"/>
    <s v="March"/>
    <x v="9"/>
  </r>
  <r>
    <s v="A038"/>
    <s v="P037"/>
    <s v="D009"/>
    <s v="Sarah Smith"/>
    <d v="2023-02-23T00:00:00"/>
    <x v="17"/>
    <s v="Consultation"/>
    <s v="Scheduled"/>
    <s v="February"/>
    <x v="7"/>
  </r>
  <r>
    <s v="A039"/>
    <s v="P023"/>
    <s v="D002"/>
    <s v="Jane Davis"/>
    <d v="2023-04-17T00:00:00"/>
    <x v="2"/>
    <s v="Follow-up"/>
    <s v="Scheduled"/>
    <s v="April"/>
    <x v="2"/>
  </r>
  <r>
    <s v="A040"/>
    <s v="P010"/>
    <s v="D009"/>
    <s v="Sarah Smith"/>
    <d v="2023-03-27T00:00:00"/>
    <x v="23"/>
    <s v="Therapy"/>
    <s v="Completed"/>
    <s v="March"/>
    <x v="4"/>
  </r>
  <r>
    <s v="A041"/>
    <s v="P005"/>
    <s v="D001"/>
    <s v="David Taylor"/>
    <d v="2023-01-01T00:00:00"/>
    <x v="24"/>
    <s v="Emergency"/>
    <s v="No-show"/>
    <s v="January"/>
    <x v="1"/>
  </r>
  <r>
    <s v="A042"/>
    <s v="P036"/>
    <s v="D001"/>
    <s v="David Taylor"/>
    <d v="2023-03-21T00:00:00"/>
    <x v="25"/>
    <s v="Emergency"/>
    <s v="Scheduled"/>
    <s v="March"/>
    <x v="9"/>
  </r>
  <r>
    <s v="A043"/>
    <s v="P034"/>
    <s v="D005"/>
    <s v="Sarah Taylor"/>
    <d v="2023-03-29T00:00:00"/>
    <x v="3"/>
    <s v="Consultation"/>
    <s v="No-show"/>
    <s v="March"/>
    <x v="3"/>
  </r>
  <r>
    <s v="A044"/>
    <s v="P031"/>
    <s v="D006"/>
    <s v="Alex Davis"/>
    <d v="2023-09-20T00:00:00"/>
    <x v="23"/>
    <s v="Follow-up"/>
    <s v="Completed"/>
    <s v="September"/>
    <x v="4"/>
  </r>
  <r>
    <s v="A045"/>
    <s v="P010"/>
    <s v="D006"/>
    <s v="Alex Davis"/>
    <d v="2023-09-28T00:00:00"/>
    <x v="15"/>
    <s v="Emergency"/>
    <s v="Scheduled"/>
    <s v="September"/>
    <x v="8"/>
  </r>
  <r>
    <s v="A046"/>
    <s v="P019"/>
    <s v="D003"/>
    <s v="Jane Smith"/>
    <d v="2023-12-20T00:00:00"/>
    <x v="19"/>
    <s v="Consultation"/>
    <s v="Cancelled"/>
    <s v="December"/>
    <x v="7"/>
  </r>
  <r>
    <s v="A047"/>
    <s v="P032"/>
    <s v="D007"/>
    <s v="Robert Davis"/>
    <d v="2023-05-02T00:00:00"/>
    <x v="14"/>
    <s v="Therapy"/>
    <s v="Completed"/>
    <s v="May"/>
    <x v="9"/>
  </r>
  <r>
    <s v="A048"/>
    <s v="P001"/>
    <s v="D009"/>
    <s v="Sarah Smith"/>
    <d v="2023-01-16T00:00:00"/>
    <x v="26"/>
    <s v="Emergency"/>
    <s v="Cancelled"/>
    <s v="January"/>
    <x v="0"/>
  </r>
  <r>
    <s v="A049"/>
    <s v="P005"/>
    <s v="D010"/>
    <s v="Linda Wilson"/>
    <d v="2023-04-30T00:00:00"/>
    <x v="9"/>
    <s v="Consultation"/>
    <s v="No-show"/>
    <s v="April"/>
    <x v="0"/>
  </r>
  <r>
    <s v="A050"/>
    <s v="P045"/>
    <s v="D008"/>
    <s v="Linda Brown"/>
    <d v="2023-08-16T00:00:00"/>
    <x v="27"/>
    <s v="Consultation"/>
    <s v="No-show"/>
    <s v="August"/>
    <x v="0"/>
  </r>
  <r>
    <s v="A051"/>
    <s v="P004"/>
    <s v="D006"/>
    <s v="Alex Davis"/>
    <d v="2023-02-04T00:00:00"/>
    <x v="28"/>
    <s v="Checkup"/>
    <s v="Completed"/>
    <s v="February"/>
    <x v="9"/>
  </r>
  <r>
    <s v="A052"/>
    <s v="P016"/>
    <s v="D008"/>
    <s v="Linda Brown"/>
    <d v="2023-07-12T00:00:00"/>
    <x v="29"/>
    <s v="Therapy"/>
    <s v="No-show"/>
    <s v="July"/>
    <x v="3"/>
  </r>
  <r>
    <s v="A053"/>
    <s v="P024"/>
    <s v="D005"/>
    <s v="Sarah Taylor"/>
    <d v="2023-02-12T00:00:00"/>
    <x v="6"/>
    <s v="Checkup"/>
    <s v="Cancelled"/>
    <s v="February"/>
    <x v="6"/>
  </r>
  <r>
    <s v="A054"/>
    <s v="P016"/>
    <s v="D008"/>
    <s v="Linda Brown"/>
    <d v="2023-12-16T00:00:00"/>
    <x v="28"/>
    <s v="Follow-up"/>
    <s v="Scheduled"/>
    <s v="December"/>
    <x v="9"/>
  </r>
  <r>
    <s v="A055"/>
    <s v="P002"/>
    <s v="D010"/>
    <s v="Linda Wilson"/>
    <d v="2023-10-06T00:00:00"/>
    <x v="30"/>
    <s v="Checkup"/>
    <s v="Scheduled"/>
    <s v="October"/>
    <x v="8"/>
  </r>
  <r>
    <s v="A056"/>
    <s v="P049"/>
    <s v="D004"/>
    <s v="David Jones"/>
    <d v="2023-01-02T00:00:00"/>
    <x v="4"/>
    <s v="Checkup"/>
    <s v="Scheduled"/>
    <s v="January"/>
    <x v="4"/>
  </r>
  <r>
    <s v="A057"/>
    <s v="P028"/>
    <s v="D010"/>
    <s v="Linda Wilson"/>
    <d v="2023-04-15T00:00:00"/>
    <x v="21"/>
    <s v="Emergency"/>
    <s v="Completed"/>
    <s v="April"/>
    <x v="8"/>
  </r>
  <r>
    <s v="A058"/>
    <s v="P032"/>
    <s v="D008"/>
    <s v="Linda Brown"/>
    <d v="2023-05-09T00:00:00"/>
    <x v="19"/>
    <s v="Consultation"/>
    <s v="No-show"/>
    <s v="May"/>
    <x v="7"/>
  </r>
  <r>
    <s v="A059"/>
    <s v="P027"/>
    <s v="D010"/>
    <s v="Linda Wilson"/>
    <d v="2023-03-09T00:00:00"/>
    <x v="9"/>
    <s v="Therapy"/>
    <s v="Cancelled"/>
    <s v="March"/>
    <x v="0"/>
  </r>
  <r>
    <s v="A060"/>
    <s v="P020"/>
    <s v="D002"/>
    <s v="Jane Davis"/>
    <d v="2023-11-22T00:00:00"/>
    <x v="13"/>
    <s v="Checkup"/>
    <s v="No-show"/>
    <s v="November"/>
    <x v="8"/>
  </r>
  <r>
    <s v="A061"/>
    <s v="P024"/>
    <s v="D005"/>
    <s v="Sarah Taylor"/>
    <d v="2023-01-15T00:00:00"/>
    <x v="15"/>
    <s v="Therapy"/>
    <s v="No-show"/>
    <s v="January"/>
    <x v="8"/>
  </r>
  <r>
    <s v="A062"/>
    <s v="P012"/>
    <s v="D009"/>
    <s v="Sarah Smith"/>
    <d v="2023-06-14T00:00:00"/>
    <x v="0"/>
    <s v="Checkup"/>
    <s v="No-show"/>
    <s v="June"/>
    <x v="0"/>
  </r>
  <r>
    <s v="A063"/>
    <s v="P050"/>
    <s v="D004"/>
    <s v="David Jones"/>
    <d v="2023-06-29T00:00:00"/>
    <x v="31"/>
    <s v="Follow-up"/>
    <s v="Scheduled"/>
    <s v="June"/>
    <x v="3"/>
  </r>
  <r>
    <s v="A064"/>
    <s v="P035"/>
    <s v="D006"/>
    <s v="Alex Davis"/>
    <d v="2023-05-31T00:00:00"/>
    <x v="32"/>
    <s v="Checkup"/>
    <s v="Cancelled"/>
    <s v="May"/>
    <x v="2"/>
  </r>
  <r>
    <s v="A065"/>
    <s v="P033"/>
    <s v="D001"/>
    <s v="David Taylor"/>
    <d v="2023-04-24T00:00:00"/>
    <x v="26"/>
    <s v="Emergency"/>
    <s v="Cancelled"/>
    <s v="April"/>
    <x v="0"/>
  </r>
  <r>
    <s v="A066"/>
    <s v="P033"/>
    <s v="D009"/>
    <s v="Sarah Smith"/>
    <d v="2023-05-10T00:00:00"/>
    <x v="28"/>
    <s v="Consultation"/>
    <s v="No-show"/>
    <s v="May"/>
    <x v="9"/>
  </r>
  <r>
    <s v="A067"/>
    <s v="P043"/>
    <s v="D001"/>
    <s v="David Taylor"/>
    <d v="2023-08-10T00:00:00"/>
    <x v="14"/>
    <s v="Follow-up"/>
    <s v="Scheduled"/>
    <s v="August"/>
    <x v="9"/>
  </r>
  <r>
    <s v="A068"/>
    <s v="P037"/>
    <s v="D005"/>
    <s v="Sarah Taylor"/>
    <d v="2023-03-14T00:00:00"/>
    <x v="27"/>
    <s v="Checkup"/>
    <s v="Scheduled"/>
    <s v="March"/>
    <x v="0"/>
  </r>
  <r>
    <s v="A069"/>
    <s v="P012"/>
    <s v="D004"/>
    <s v="David Jones"/>
    <d v="2023-03-29T00:00:00"/>
    <x v="9"/>
    <s v="Therapy"/>
    <s v="Cancelled"/>
    <s v="March"/>
    <x v="0"/>
  </r>
  <r>
    <s v="A070"/>
    <s v="P003"/>
    <s v="D003"/>
    <s v="Jane Smith"/>
    <d v="2023-08-26T00:00:00"/>
    <x v="15"/>
    <s v="Follow-up"/>
    <s v="Scheduled"/>
    <s v="August"/>
    <x v="8"/>
  </r>
  <r>
    <s v="A071"/>
    <s v="P001"/>
    <s v="D006"/>
    <s v="Alex Davis"/>
    <d v="2023-01-26T00:00:00"/>
    <x v="15"/>
    <s v="Follow-up"/>
    <s v="Scheduled"/>
    <s v="January"/>
    <x v="8"/>
  </r>
  <r>
    <s v="A072"/>
    <s v="P033"/>
    <s v="D002"/>
    <s v="Jane Davis"/>
    <d v="2023-06-12T00:00:00"/>
    <x v="33"/>
    <s v="Checkup"/>
    <s v="Scheduled"/>
    <s v="June"/>
    <x v="7"/>
  </r>
  <r>
    <s v="A073"/>
    <s v="P040"/>
    <s v="D003"/>
    <s v="Jane Smith"/>
    <d v="2023-12-24T00:00:00"/>
    <x v="27"/>
    <s v="Follow-up"/>
    <s v="Completed"/>
    <s v="December"/>
    <x v="0"/>
  </r>
  <r>
    <s v="A074"/>
    <s v="P010"/>
    <s v="D005"/>
    <s v="Sarah Taylor"/>
    <d v="2023-07-23T00:00:00"/>
    <x v="33"/>
    <s v="Therapy"/>
    <s v="No-show"/>
    <s v="July"/>
    <x v="7"/>
  </r>
  <r>
    <s v="A075"/>
    <s v="P043"/>
    <s v="D009"/>
    <s v="Sarah Smith"/>
    <d v="2023-05-08T00:00:00"/>
    <x v="24"/>
    <s v="Follow-up"/>
    <s v="Cancelled"/>
    <s v="May"/>
    <x v="1"/>
  </r>
  <r>
    <s v="A076"/>
    <s v="P044"/>
    <s v="D002"/>
    <s v="Jane Davis"/>
    <d v="2023-11-27T00:00:00"/>
    <x v="12"/>
    <s v="Therapy"/>
    <s v="Cancelled"/>
    <s v="November"/>
    <x v="4"/>
  </r>
  <r>
    <s v="A077"/>
    <s v="P029"/>
    <s v="D010"/>
    <s v="Linda Wilson"/>
    <d v="2023-12-14T00:00:00"/>
    <x v="13"/>
    <s v="Checkup"/>
    <s v="Completed"/>
    <s v="December"/>
    <x v="8"/>
  </r>
  <r>
    <s v="A078"/>
    <s v="P013"/>
    <s v="D008"/>
    <s v="Linda Brown"/>
    <d v="2023-09-17T00:00:00"/>
    <x v="25"/>
    <s v="Consultation"/>
    <s v="No-show"/>
    <s v="September"/>
    <x v="9"/>
  </r>
  <r>
    <s v="A079"/>
    <s v="P012"/>
    <s v="D002"/>
    <s v="Jane Davis"/>
    <d v="2023-12-26T00:00:00"/>
    <x v="24"/>
    <s v="Follow-up"/>
    <s v="Cancelled"/>
    <s v="December"/>
    <x v="1"/>
  </r>
  <r>
    <s v="A080"/>
    <s v="P031"/>
    <s v="D005"/>
    <s v="Sarah Taylor"/>
    <d v="2023-06-26T00:00:00"/>
    <x v="32"/>
    <s v="Consultation"/>
    <s v="Scheduled"/>
    <s v="June"/>
    <x v="2"/>
  </r>
  <r>
    <s v="A081"/>
    <s v="P046"/>
    <s v="D007"/>
    <s v="Robert Davis"/>
    <d v="2023-01-06T00:00:00"/>
    <x v="33"/>
    <s v="Therapy"/>
    <s v="Cancelled"/>
    <s v="January"/>
    <x v="7"/>
  </r>
  <r>
    <s v="A082"/>
    <s v="P002"/>
    <s v="D008"/>
    <s v="Linda Brown"/>
    <d v="2023-01-20T00:00:00"/>
    <x v="20"/>
    <s v="Follow-up"/>
    <s v="Scheduled"/>
    <s v="January"/>
    <x v="6"/>
  </r>
  <r>
    <s v="A083"/>
    <s v="P050"/>
    <s v="D001"/>
    <s v="David Taylor"/>
    <d v="2023-11-07T00:00:00"/>
    <x v="23"/>
    <s v="Emergency"/>
    <s v="Completed"/>
    <s v="November"/>
    <x v="4"/>
  </r>
  <r>
    <s v="A084"/>
    <s v="P035"/>
    <s v="D006"/>
    <s v="Alex Davis"/>
    <d v="2023-05-31T00:00:00"/>
    <x v="10"/>
    <s v="Consultation"/>
    <s v="Scheduled"/>
    <s v="May"/>
    <x v="5"/>
  </r>
  <r>
    <s v="A085"/>
    <s v="P023"/>
    <s v="D001"/>
    <s v="David Taylor"/>
    <d v="2023-02-18T00:00:00"/>
    <x v="5"/>
    <s v="Follow-up"/>
    <s v="Cancelled"/>
    <s v="February"/>
    <x v="5"/>
  </r>
  <r>
    <s v="A086"/>
    <s v="P017"/>
    <s v="D002"/>
    <s v="Jane Davis"/>
    <d v="2023-10-29T00:00:00"/>
    <x v="14"/>
    <s v="Consultation"/>
    <s v="Cancelled"/>
    <s v="October"/>
    <x v="9"/>
  </r>
  <r>
    <s v="A087"/>
    <s v="P026"/>
    <s v="D001"/>
    <s v="David Taylor"/>
    <d v="2023-10-19T00:00:00"/>
    <x v="34"/>
    <s v="Follow-up"/>
    <s v="Cancelled"/>
    <s v="October"/>
    <x v="4"/>
  </r>
  <r>
    <s v="A088"/>
    <s v="P008"/>
    <s v="D005"/>
    <s v="Sarah Taylor"/>
    <d v="2023-05-02T00:00:00"/>
    <x v="35"/>
    <s v="Checkup"/>
    <s v="Completed"/>
    <s v="May"/>
    <x v="5"/>
  </r>
  <r>
    <s v="A089"/>
    <s v="P029"/>
    <s v="D010"/>
    <s v="Linda Wilson"/>
    <d v="2023-02-14T00:00:00"/>
    <x v="14"/>
    <s v="Consultation"/>
    <s v="Completed"/>
    <s v="February"/>
    <x v="9"/>
  </r>
  <r>
    <s v="A090"/>
    <s v="P026"/>
    <s v="D009"/>
    <s v="Sarah Smith"/>
    <d v="2023-06-01T00:00:00"/>
    <x v="30"/>
    <s v="Emergency"/>
    <s v="No-show"/>
    <s v="June"/>
    <x v="8"/>
  </r>
  <r>
    <s v="A091"/>
    <s v="P010"/>
    <s v="D006"/>
    <s v="Alex Davis"/>
    <d v="2023-06-11T00:00:00"/>
    <x v="19"/>
    <s v="Emergency"/>
    <s v="Cancelled"/>
    <s v="June"/>
    <x v="7"/>
  </r>
  <r>
    <s v="A092"/>
    <s v="P026"/>
    <s v="D001"/>
    <s v="David Taylor"/>
    <d v="2023-01-30T00:00:00"/>
    <x v="18"/>
    <s v="Therapy"/>
    <s v="Scheduled"/>
    <s v="January"/>
    <x v="1"/>
  </r>
  <r>
    <s v="A093"/>
    <s v="P034"/>
    <s v="D001"/>
    <s v="David Taylor"/>
    <d v="2023-04-09T00:00:00"/>
    <x v="29"/>
    <s v="Follow-up"/>
    <s v="Completed"/>
    <s v="April"/>
    <x v="3"/>
  </r>
  <r>
    <s v="A094"/>
    <s v="P041"/>
    <s v="D002"/>
    <s v="Jane Davis"/>
    <d v="2023-04-08T00:00:00"/>
    <x v="7"/>
    <s v="Consultation"/>
    <s v="Cancelled"/>
    <s v="April"/>
    <x v="2"/>
  </r>
  <r>
    <s v="A095"/>
    <s v="P007"/>
    <s v="D009"/>
    <s v="Sarah Smith"/>
    <d v="2023-05-09T00:00:00"/>
    <x v="36"/>
    <s v="Therapy"/>
    <s v="Cancelled"/>
    <s v="May"/>
    <x v="6"/>
  </r>
  <r>
    <s v="A096"/>
    <s v="P004"/>
    <s v="D003"/>
    <s v="Jane Smith"/>
    <d v="2023-07-07T00:00:00"/>
    <x v="27"/>
    <s v="Consultation"/>
    <s v="Completed"/>
    <s v="July"/>
    <x v="0"/>
  </r>
  <r>
    <s v="A097"/>
    <s v="P050"/>
    <s v="D001"/>
    <s v="David Taylor"/>
    <d v="2023-05-06T00:00:00"/>
    <x v="37"/>
    <s v="Follow-up"/>
    <s v="No-show"/>
    <s v="May"/>
    <x v="1"/>
  </r>
  <r>
    <s v="A098"/>
    <s v="P045"/>
    <s v="D005"/>
    <s v="Sarah Taylor"/>
    <d v="2023-03-17T00:00:00"/>
    <x v="17"/>
    <s v="Emergency"/>
    <s v="Completed"/>
    <s v="March"/>
    <x v="7"/>
  </r>
  <r>
    <s v="A099"/>
    <s v="P011"/>
    <s v="D007"/>
    <s v="Robert Davis"/>
    <d v="2023-07-04T00:00:00"/>
    <x v="27"/>
    <s v="Checkup"/>
    <s v="Completed"/>
    <s v="July"/>
    <x v="0"/>
  </r>
  <r>
    <s v="A100"/>
    <s v="P029"/>
    <s v="D006"/>
    <s v="Alex Davis"/>
    <d v="2023-03-02T00:00:00"/>
    <x v="2"/>
    <s v="Emergency"/>
    <s v="Scheduled"/>
    <s v="March"/>
    <x v="2"/>
  </r>
  <r>
    <s v="A101"/>
    <s v="P036"/>
    <s v="D001"/>
    <s v="David Taylor"/>
    <d v="2023-09-21T00:00:00"/>
    <x v="19"/>
    <s v="Therapy"/>
    <s v="Scheduled"/>
    <s v="September"/>
    <x v="7"/>
  </r>
  <r>
    <s v="A102"/>
    <s v="P025"/>
    <s v="D005"/>
    <s v="Sarah Taylor"/>
    <d v="2023-10-25T00:00:00"/>
    <x v="31"/>
    <s v="Checkup"/>
    <s v="No-show"/>
    <s v="October"/>
    <x v="3"/>
  </r>
  <r>
    <s v="A103"/>
    <s v="P021"/>
    <s v="D005"/>
    <s v="Sarah Taylor"/>
    <d v="2023-01-24T00:00:00"/>
    <x v="32"/>
    <s v="Therapy"/>
    <s v="Cancelled"/>
    <s v="January"/>
    <x v="2"/>
  </r>
  <r>
    <s v="A104"/>
    <s v="P036"/>
    <s v="D006"/>
    <s v="Alex Davis"/>
    <d v="2023-04-18T00:00:00"/>
    <x v="7"/>
    <s v="Follow-up"/>
    <s v="Completed"/>
    <s v="April"/>
    <x v="2"/>
  </r>
  <r>
    <s v="A105"/>
    <s v="P010"/>
    <s v="D003"/>
    <s v="Jane Smith"/>
    <d v="2023-08-14T00:00:00"/>
    <x v="10"/>
    <s v="Checkup"/>
    <s v="No-show"/>
    <s v="August"/>
    <x v="5"/>
  </r>
  <r>
    <s v="A106"/>
    <s v="P037"/>
    <s v="D005"/>
    <s v="Sarah Taylor"/>
    <d v="2023-10-29T00:00:00"/>
    <x v="25"/>
    <s v="Therapy"/>
    <s v="Scheduled"/>
    <s v="October"/>
    <x v="9"/>
  </r>
  <r>
    <s v="A107"/>
    <s v="P009"/>
    <s v="D007"/>
    <s v="Robert Davis"/>
    <d v="2023-04-17T00:00:00"/>
    <x v="8"/>
    <s v="Follow-up"/>
    <s v="Completed"/>
    <s v="April"/>
    <x v="7"/>
  </r>
  <r>
    <s v="A108"/>
    <s v="P024"/>
    <s v="D005"/>
    <s v="Sarah Taylor"/>
    <d v="2023-04-21T00:00:00"/>
    <x v="27"/>
    <s v="Emergency"/>
    <s v="Cancelled"/>
    <s v="April"/>
    <x v="0"/>
  </r>
  <r>
    <s v="A109"/>
    <s v="P035"/>
    <s v="D005"/>
    <s v="Sarah Taylor"/>
    <d v="2023-07-29T00:00:00"/>
    <x v="24"/>
    <s v="Follow-up"/>
    <s v="Scheduled"/>
    <s v="July"/>
    <x v="1"/>
  </r>
  <r>
    <s v="A110"/>
    <s v="P049"/>
    <s v="D005"/>
    <s v="Sarah Taylor"/>
    <d v="2023-07-19T00:00:00"/>
    <x v="1"/>
    <s v="Consultation"/>
    <s v="Scheduled"/>
    <s v="July"/>
    <x v="1"/>
  </r>
  <r>
    <s v="A111"/>
    <s v="P035"/>
    <s v="D010"/>
    <s v="Linda Wilson"/>
    <d v="2023-05-22T00:00:00"/>
    <x v="9"/>
    <s v="Follow-up"/>
    <s v="Scheduled"/>
    <s v="May"/>
    <x v="0"/>
  </r>
  <r>
    <s v="A112"/>
    <s v="P048"/>
    <s v="D010"/>
    <s v="Linda Wilson"/>
    <d v="2023-01-11T00:00:00"/>
    <x v="2"/>
    <s v="Follow-up"/>
    <s v="No-show"/>
    <s v="January"/>
    <x v="2"/>
  </r>
  <r>
    <s v="A113"/>
    <s v="P036"/>
    <s v="D003"/>
    <s v="Jane Smith"/>
    <d v="2023-11-24T00:00:00"/>
    <x v="9"/>
    <s v="Consultation"/>
    <s v="Cancelled"/>
    <s v="November"/>
    <x v="0"/>
  </r>
  <r>
    <s v="A114"/>
    <s v="P018"/>
    <s v="D001"/>
    <s v="David Taylor"/>
    <d v="2023-08-08T00:00:00"/>
    <x v="31"/>
    <s v="Therapy"/>
    <s v="Completed"/>
    <s v="August"/>
    <x v="3"/>
  </r>
  <r>
    <s v="A115"/>
    <s v="P049"/>
    <s v="D005"/>
    <s v="Sarah Taylor"/>
    <d v="2023-10-25T00:00:00"/>
    <x v="6"/>
    <s v="Therapy"/>
    <s v="No-show"/>
    <s v="October"/>
    <x v="6"/>
  </r>
  <r>
    <s v="A116"/>
    <s v="P039"/>
    <s v="D009"/>
    <s v="Sarah Smith"/>
    <d v="2023-07-07T00:00:00"/>
    <x v="3"/>
    <s v="Follow-up"/>
    <s v="No-show"/>
    <s v="July"/>
    <x v="3"/>
  </r>
  <r>
    <s v="A117"/>
    <s v="P032"/>
    <s v="D001"/>
    <s v="David Taylor"/>
    <d v="2023-06-20T00:00:00"/>
    <x v="8"/>
    <s v="Consultation"/>
    <s v="No-show"/>
    <s v="June"/>
    <x v="7"/>
  </r>
  <r>
    <s v="A118"/>
    <s v="P024"/>
    <s v="D003"/>
    <s v="Jane Smith"/>
    <d v="2023-08-09T00:00:00"/>
    <x v="38"/>
    <s v="Consultation"/>
    <s v="Scheduled"/>
    <s v="August"/>
    <x v="2"/>
  </r>
  <r>
    <s v="A119"/>
    <s v="P023"/>
    <s v="D004"/>
    <s v="David Jones"/>
    <d v="2023-12-18T00:00:00"/>
    <x v="33"/>
    <s v="Emergency"/>
    <s v="Cancelled"/>
    <s v="December"/>
    <x v="7"/>
  </r>
  <r>
    <s v="A120"/>
    <s v="P032"/>
    <s v="D001"/>
    <s v="David Taylor"/>
    <d v="2023-12-08T00:00:00"/>
    <x v="14"/>
    <s v="Therapy"/>
    <s v="No-show"/>
    <s v="December"/>
    <x v="9"/>
  </r>
  <r>
    <s v="A121"/>
    <s v="P037"/>
    <s v="D001"/>
    <s v="David Taylor"/>
    <d v="2023-04-07T00:00:00"/>
    <x v="27"/>
    <s v="Checkup"/>
    <s v="Completed"/>
    <s v="April"/>
    <x v="0"/>
  </r>
  <r>
    <s v="A122"/>
    <s v="P012"/>
    <s v="D008"/>
    <s v="Linda Brown"/>
    <d v="2023-07-11T00:00:00"/>
    <x v="1"/>
    <s v="Therapy"/>
    <s v="Cancelled"/>
    <s v="July"/>
    <x v="1"/>
  </r>
  <r>
    <s v="A123"/>
    <s v="P049"/>
    <s v="D002"/>
    <s v="Jane Davis"/>
    <d v="2023-02-28T00:00:00"/>
    <x v="20"/>
    <s v="Therapy"/>
    <s v="Completed"/>
    <s v="February"/>
    <x v="6"/>
  </r>
  <r>
    <s v="A124"/>
    <s v="P013"/>
    <s v="D008"/>
    <s v="Linda Brown"/>
    <d v="2023-03-16T00:00:00"/>
    <x v="13"/>
    <s v="Emergency"/>
    <s v="Cancelled"/>
    <s v="March"/>
    <x v="8"/>
  </r>
  <r>
    <s v="A125"/>
    <s v="P023"/>
    <s v="D007"/>
    <s v="Robert Davis"/>
    <d v="2023-02-18T00:00:00"/>
    <x v="36"/>
    <s v="Checkup"/>
    <s v="Completed"/>
    <s v="February"/>
    <x v="6"/>
  </r>
  <r>
    <s v="A126"/>
    <s v="P025"/>
    <s v="D010"/>
    <s v="Linda Wilson"/>
    <d v="2023-11-02T00:00:00"/>
    <x v="16"/>
    <s v="Emergency"/>
    <s v="Scheduled"/>
    <s v="November"/>
    <x v="3"/>
  </r>
  <r>
    <s v="A127"/>
    <s v="P035"/>
    <s v="D010"/>
    <s v="Linda Wilson"/>
    <d v="2023-11-13T00:00:00"/>
    <x v="32"/>
    <s v="Checkup"/>
    <s v="No-show"/>
    <s v="November"/>
    <x v="2"/>
  </r>
  <r>
    <s v="A128"/>
    <s v="P041"/>
    <s v="D002"/>
    <s v="Jane Davis"/>
    <d v="2023-04-15T00:00:00"/>
    <x v="37"/>
    <s v="Follow-up"/>
    <s v="Completed"/>
    <s v="April"/>
    <x v="1"/>
  </r>
  <r>
    <s v="A129"/>
    <s v="P030"/>
    <s v="D006"/>
    <s v="Alex Davis"/>
    <d v="2023-08-25T00:00:00"/>
    <x v="29"/>
    <s v="Checkup"/>
    <s v="Cancelled"/>
    <s v="August"/>
    <x v="3"/>
  </r>
  <r>
    <s v="A130"/>
    <s v="P017"/>
    <s v="D006"/>
    <s v="Alex Davis"/>
    <d v="2023-02-23T00:00:00"/>
    <x v="27"/>
    <s v="Emergency"/>
    <s v="No-show"/>
    <s v="February"/>
    <x v="0"/>
  </r>
  <r>
    <s v="A131"/>
    <s v="P049"/>
    <s v="D003"/>
    <s v="Jane Smith"/>
    <d v="2023-05-11T00:00:00"/>
    <x v="35"/>
    <s v="Therapy"/>
    <s v="No-show"/>
    <s v="May"/>
    <x v="5"/>
  </r>
  <r>
    <s v="A132"/>
    <s v="P020"/>
    <s v="D002"/>
    <s v="Jane Davis"/>
    <d v="2023-07-26T00:00:00"/>
    <x v="20"/>
    <s v="Checkup"/>
    <s v="Cancelled"/>
    <s v="July"/>
    <x v="6"/>
  </r>
  <r>
    <s v="A133"/>
    <s v="P048"/>
    <s v="D001"/>
    <s v="David Taylor"/>
    <d v="2023-03-23T00:00:00"/>
    <x v="1"/>
    <s v="Checkup"/>
    <s v="Completed"/>
    <s v="March"/>
    <x v="1"/>
  </r>
  <r>
    <s v="A134"/>
    <s v="P025"/>
    <s v="D006"/>
    <s v="Alex Davis"/>
    <d v="2023-10-17T00:00:00"/>
    <x v="0"/>
    <s v="Consultation"/>
    <s v="Scheduled"/>
    <s v="October"/>
    <x v="0"/>
  </r>
  <r>
    <s v="A135"/>
    <s v="P022"/>
    <s v="D005"/>
    <s v="Sarah Taylor"/>
    <d v="2023-09-09T00:00:00"/>
    <x v="35"/>
    <s v="Therapy"/>
    <s v="Scheduled"/>
    <s v="September"/>
    <x v="5"/>
  </r>
  <r>
    <s v="A136"/>
    <s v="P013"/>
    <s v="D009"/>
    <s v="Sarah Smith"/>
    <d v="2023-05-13T00:00:00"/>
    <x v="23"/>
    <s v="Follow-up"/>
    <s v="Completed"/>
    <s v="May"/>
    <x v="4"/>
  </r>
  <r>
    <s v="A137"/>
    <s v="P019"/>
    <s v="D001"/>
    <s v="David Taylor"/>
    <d v="2023-10-25T00:00:00"/>
    <x v="11"/>
    <s v="Emergency"/>
    <s v="No-show"/>
    <s v="October"/>
    <x v="6"/>
  </r>
  <r>
    <s v="A138"/>
    <s v="P049"/>
    <s v="D007"/>
    <s v="Robert Davis"/>
    <d v="2023-12-26T00:00:00"/>
    <x v="0"/>
    <s v="Follow-up"/>
    <s v="No-show"/>
    <s v="December"/>
    <x v="0"/>
  </r>
  <r>
    <s v="A139"/>
    <s v="P036"/>
    <s v="D005"/>
    <s v="Sarah Taylor"/>
    <d v="2023-10-10T00:00:00"/>
    <x v="20"/>
    <s v="Therapy"/>
    <s v="No-show"/>
    <s v="October"/>
    <x v="6"/>
  </r>
  <r>
    <s v="A140"/>
    <s v="P012"/>
    <s v="D005"/>
    <s v="Sarah Taylor"/>
    <d v="2023-02-05T00:00:00"/>
    <x v="0"/>
    <s v="Checkup"/>
    <s v="No-show"/>
    <s v="February"/>
    <x v="0"/>
  </r>
  <r>
    <s v="A141"/>
    <s v="P041"/>
    <s v="D002"/>
    <s v="Jane Davis"/>
    <d v="2023-06-15T00:00:00"/>
    <x v="0"/>
    <s v="Checkup"/>
    <s v="Completed"/>
    <s v="June"/>
    <x v="0"/>
  </r>
  <r>
    <s v="A142"/>
    <s v="P019"/>
    <s v="D003"/>
    <s v="Jane Smith"/>
    <d v="2023-11-01T00:00:00"/>
    <x v="28"/>
    <s v="Therapy"/>
    <s v="No-show"/>
    <s v="November"/>
    <x v="9"/>
  </r>
  <r>
    <s v="A143"/>
    <s v="P012"/>
    <s v="D007"/>
    <s v="Robert Davis"/>
    <d v="2023-09-21T00:00:00"/>
    <x v="34"/>
    <s v="Checkup"/>
    <s v="Cancelled"/>
    <s v="September"/>
    <x v="4"/>
  </r>
  <r>
    <s v="A144"/>
    <s v="P009"/>
    <s v="D006"/>
    <s v="Alex Davis"/>
    <d v="2023-08-16T00:00:00"/>
    <x v="34"/>
    <s v="Checkup"/>
    <s v="No-show"/>
    <s v="August"/>
    <x v="4"/>
  </r>
  <r>
    <s v="A145"/>
    <s v="P007"/>
    <s v="D002"/>
    <s v="Jane Davis"/>
    <d v="2023-11-11T00:00:00"/>
    <x v="37"/>
    <s v="Checkup"/>
    <s v="Scheduled"/>
    <s v="November"/>
    <x v="1"/>
  </r>
  <r>
    <s v="A146"/>
    <s v="P028"/>
    <s v="D006"/>
    <s v="Alex Davis"/>
    <d v="2023-01-05T00:00:00"/>
    <x v="29"/>
    <s v="Emergency"/>
    <s v="No-show"/>
    <s v="January"/>
    <x v="3"/>
  </r>
  <r>
    <s v="A147"/>
    <s v="P014"/>
    <s v="D002"/>
    <s v="Jane Davis"/>
    <d v="2023-11-13T00:00:00"/>
    <x v="30"/>
    <s v="Emergency"/>
    <s v="Completed"/>
    <s v="November"/>
    <x v="8"/>
  </r>
  <r>
    <s v="A148"/>
    <s v="P031"/>
    <s v="D002"/>
    <s v="Jane Davis"/>
    <d v="2023-12-06T00:00:00"/>
    <x v="32"/>
    <s v="Consultation"/>
    <s v="Scheduled"/>
    <s v="December"/>
    <x v="2"/>
  </r>
  <r>
    <s v="A149"/>
    <s v="P019"/>
    <s v="D002"/>
    <s v="Jane Davis"/>
    <d v="2023-07-26T00:00:00"/>
    <x v="23"/>
    <s v="Follow-up"/>
    <s v="Completed"/>
    <s v="July"/>
    <x v="4"/>
  </r>
  <r>
    <s v="A150"/>
    <s v="P047"/>
    <s v="D003"/>
    <s v="Jane Smith"/>
    <d v="2023-08-16T00:00:00"/>
    <x v="20"/>
    <s v="Therapy"/>
    <s v="Completed"/>
    <s v="August"/>
    <x v="6"/>
  </r>
  <r>
    <s v="A151"/>
    <s v="P016"/>
    <s v="D002"/>
    <s v="Jane Davis"/>
    <d v="2023-01-28T00:00:00"/>
    <x v="3"/>
    <s v="Therapy"/>
    <s v="Scheduled"/>
    <s v="January"/>
    <x v="3"/>
  </r>
  <r>
    <s v="A152"/>
    <s v="P005"/>
    <s v="D004"/>
    <s v="David Jones"/>
    <d v="2023-04-14T00:00:00"/>
    <x v="32"/>
    <s v="Therapy"/>
    <s v="Completed"/>
    <s v="April"/>
    <x v="2"/>
  </r>
  <r>
    <s v="A153"/>
    <s v="P035"/>
    <s v="D009"/>
    <s v="Sarah Smith"/>
    <d v="2023-07-08T00:00:00"/>
    <x v="4"/>
    <s v="Consultation"/>
    <s v="Completed"/>
    <s v="July"/>
    <x v="4"/>
  </r>
  <r>
    <s v="A154"/>
    <s v="P012"/>
    <s v="D006"/>
    <s v="Alex Davis"/>
    <d v="2023-03-06T00:00:00"/>
    <x v="30"/>
    <s v="Emergency"/>
    <s v="No-show"/>
    <s v="March"/>
    <x v="8"/>
  </r>
  <r>
    <s v="A155"/>
    <s v="P025"/>
    <s v="D001"/>
    <s v="David Taylor"/>
    <d v="2023-01-03T00:00:00"/>
    <x v="29"/>
    <s v="Consultation"/>
    <s v="Cancelled"/>
    <s v="January"/>
    <x v="3"/>
  </r>
  <r>
    <s v="A156"/>
    <s v="P021"/>
    <s v="D008"/>
    <s v="Linda Brown"/>
    <d v="2023-11-22T00:00:00"/>
    <x v="1"/>
    <s v="Therapy"/>
    <s v="Completed"/>
    <s v="November"/>
    <x v="1"/>
  </r>
  <r>
    <s v="A157"/>
    <s v="P036"/>
    <s v="D007"/>
    <s v="Robert Davis"/>
    <d v="2023-05-12T00:00:00"/>
    <x v="14"/>
    <s v="Follow-up"/>
    <s v="Completed"/>
    <s v="May"/>
    <x v="9"/>
  </r>
  <r>
    <s v="A158"/>
    <s v="P023"/>
    <s v="D010"/>
    <s v="Linda Wilson"/>
    <d v="2023-07-12T00:00:00"/>
    <x v="34"/>
    <s v="Checkup"/>
    <s v="Completed"/>
    <s v="July"/>
    <x v="4"/>
  </r>
  <r>
    <s v="A159"/>
    <s v="P016"/>
    <s v="D003"/>
    <s v="Jane Smith"/>
    <d v="2023-04-08T00:00:00"/>
    <x v="5"/>
    <s v="Emergency"/>
    <s v="No-show"/>
    <s v="April"/>
    <x v="5"/>
  </r>
  <r>
    <s v="A160"/>
    <s v="P039"/>
    <s v="D001"/>
    <s v="David Taylor"/>
    <d v="2023-12-17T00:00:00"/>
    <x v="4"/>
    <s v="Emergency"/>
    <s v="Cancelled"/>
    <s v="December"/>
    <x v="4"/>
  </r>
  <r>
    <s v="A161"/>
    <s v="P045"/>
    <s v="D005"/>
    <s v="Sarah Taylor"/>
    <d v="2023-06-17T00:00:00"/>
    <x v="20"/>
    <s v="Consultation"/>
    <s v="Scheduled"/>
    <s v="June"/>
    <x v="6"/>
  </r>
  <r>
    <s v="A162"/>
    <s v="P042"/>
    <s v="D004"/>
    <s v="David Jones"/>
    <d v="2023-01-01T00:00:00"/>
    <x v="13"/>
    <s v="Emergency"/>
    <s v="No-show"/>
    <s v="January"/>
    <x v="8"/>
  </r>
  <r>
    <s v="A163"/>
    <s v="P039"/>
    <s v="D010"/>
    <s v="Linda Wilson"/>
    <d v="2023-06-27T00:00:00"/>
    <x v="27"/>
    <s v="Therapy"/>
    <s v="No-show"/>
    <s v="June"/>
    <x v="0"/>
  </r>
  <r>
    <s v="A164"/>
    <s v="P014"/>
    <s v="D008"/>
    <s v="Linda Brown"/>
    <d v="2023-07-28T00:00:00"/>
    <x v="13"/>
    <s v="Therapy"/>
    <s v="Cancelled"/>
    <s v="July"/>
    <x v="8"/>
  </r>
  <r>
    <s v="A165"/>
    <s v="P031"/>
    <s v="D001"/>
    <s v="David Taylor"/>
    <d v="2023-04-04T00:00:00"/>
    <x v="9"/>
    <s v="Consultation"/>
    <s v="Cancelled"/>
    <s v="April"/>
    <x v="0"/>
  </r>
  <r>
    <s v="A166"/>
    <s v="P005"/>
    <s v="D010"/>
    <s v="Linda Wilson"/>
    <d v="2023-01-12T00:00:00"/>
    <x v="37"/>
    <s v="Therapy"/>
    <s v="No-show"/>
    <s v="January"/>
    <x v="1"/>
  </r>
  <r>
    <s v="A167"/>
    <s v="P035"/>
    <s v="D001"/>
    <s v="David Taylor"/>
    <d v="2023-11-15T00:00:00"/>
    <x v="38"/>
    <s v="Follow-up"/>
    <s v="Scheduled"/>
    <s v="November"/>
    <x v="2"/>
  </r>
  <r>
    <s v="A168"/>
    <s v="P023"/>
    <s v="D004"/>
    <s v="David Jones"/>
    <d v="2023-09-29T00:00:00"/>
    <x v="11"/>
    <s v="Consultation"/>
    <s v="No-show"/>
    <s v="September"/>
    <x v="6"/>
  </r>
  <r>
    <s v="A169"/>
    <s v="P029"/>
    <s v="D008"/>
    <s v="Linda Brown"/>
    <d v="2023-07-24T00:00:00"/>
    <x v="39"/>
    <s v="Follow-up"/>
    <s v="Cancelled"/>
    <s v="July"/>
    <x v="5"/>
  </r>
  <r>
    <s v="A170"/>
    <s v="P043"/>
    <s v="D005"/>
    <s v="Sarah Taylor"/>
    <d v="2023-03-03T00:00:00"/>
    <x v="31"/>
    <s v="Checkup"/>
    <s v="Scheduled"/>
    <s v="March"/>
    <x v="3"/>
  </r>
  <r>
    <s v="A171"/>
    <s v="P011"/>
    <s v="D002"/>
    <s v="Jane Davis"/>
    <d v="2023-04-18T00:00:00"/>
    <x v="35"/>
    <s v="Follow-up"/>
    <s v="Cancelled"/>
    <s v="April"/>
    <x v="5"/>
  </r>
  <r>
    <s v="A172"/>
    <s v="P018"/>
    <s v="D006"/>
    <s v="Alex Davis"/>
    <d v="2023-03-09T00:00:00"/>
    <x v="5"/>
    <s v="Checkup"/>
    <s v="Scheduled"/>
    <s v="March"/>
    <x v="5"/>
  </r>
  <r>
    <s v="A173"/>
    <s v="P047"/>
    <s v="D005"/>
    <s v="Sarah Taylor"/>
    <d v="2023-06-04T00:00:00"/>
    <x v="33"/>
    <s v="Checkup"/>
    <s v="Completed"/>
    <s v="June"/>
    <x v="7"/>
  </r>
  <r>
    <s v="A174"/>
    <s v="P012"/>
    <s v="D002"/>
    <s v="Jane Davis"/>
    <d v="2023-10-31T00:00:00"/>
    <x v="25"/>
    <s v="Follow-up"/>
    <s v="Cancelled"/>
    <s v="October"/>
    <x v="9"/>
  </r>
  <r>
    <s v="A175"/>
    <s v="P009"/>
    <s v="D003"/>
    <s v="Jane Smith"/>
    <d v="2023-10-22T00:00:00"/>
    <x v="15"/>
    <s v="Consultation"/>
    <s v="Cancelled"/>
    <s v="October"/>
    <x v="8"/>
  </r>
  <r>
    <s v="A176"/>
    <s v="P010"/>
    <s v="D009"/>
    <s v="Sarah Smith"/>
    <d v="2023-04-26T00:00:00"/>
    <x v="29"/>
    <s v="Therapy"/>
    <s v="No-show"/>
    <s v="April"/>
    <x v="3"/>
  </r>
  <r>
    <s v="A177"/>
    <s v="P044"/>
    <s v="D007"/>
    <s v="Robert Davis"/>
    <d v="2023-08-16T00:00:00"/>
    <x v="23"/>
    <s v="Therapy"/>
    <s v="Cancelled"/>
    <s v="August"/>
    <x v="4"/>
  </r>
  <r>
    <s v="A178"/>
    <s v="P017"/>
    <s v="D007"/>
    <s v="Robert Davis"/>
    <d v="2023-01-17T00:00:00"/>
    <x v="19"/>
    <s v="Checkup"/>
    <s v="Cancelled"/>
    <s v="January"/>
    <x v="7"/>
  </r>
  <r>
    <s v="A179"/>
    <s v="P038"/>
    <s v="D006"/>
    <s v="Alex Davis"/>
    <d v="2023-03-08T00:00:00"/>
    <x v="34"/>
    <s v="Checkup"/>
    <s v="Completed"/>
    <s v="March"/>
    <x v="4"/>
  </r>
  <r>
    <s v="A180"/>
    <s v="P007"/>
    <s v="D008"/>
    <s v="Linda Brown"/>
    <d v="2023-01-07T00:00:00"/>
    <x v="14"/>
    <s v="Consultation"/>
    <s v="Cancelled"/>
    <s v="January"/>
    <x v="9"/>
  </r>
  <r>
    <s v="A181"/>
    <s v="P046"/>
    <s v="D004"/>
    <s v="David Jones"/>
    <d v="2023-09-03T00:00:00"/>
    <x v="19"/>
    <s v="Emergency"/>
    <s v="Completed"/>
    <s v="September"/>
    <x v="7"/>
  </r>
  <r>
    <s v="A182"/>
    <s v="P013"/>
    <s v="D008"/>
    <s v="Linda Brown"/>
    <d v="2023-04-12T00:00:00"/>
    <x v="2"/>
    <s v="Follow-up"/>
    <s v="Completed"/>
    <s v="April"/>
    <x v="2"/>
  </r>
  <r>
    <s v="A183"/>
    <s v="P040"/>
    <s v="D004"/>
    <s v="David Jones"/>
    <d v="2023-02-03T00:00:00"/>
    <x v="5"/>
    <s v="Checkup"/>
    <s v="Completed"/>
    <s v="February"/>
    <x v="5"/>
  </r>
  <r>
    <s v="A184"/>
    <s v="P042"/>
    <s v="D008"/>
    <s v="Linda Brown"/>
    <d v="2023-02-26T00:00:00"/>
    <x v="21"/>
    <s v="Therapy"/>
    <s v="Completed"/>
    <s v="February"/>
    <x v="8"/>
  </r>
  <r>
    <s v="A185"/>
    <s v="P009"/>
    <s v="D009"/>
    <s v="Sarah Smith"/>
    <d v="2023-03-21T00:00:00"/>
    <x v="24"/>
    <s v="Consultation"/>
    <s v="Scheduled"/>
    <s v="March"/>
    <x v="1"/>
  </r>
  <r>
    <s v="A186"/>
    <s v="P050"/>
    <s v="D003"/>
    <s v="Jane Smith"/>
    <d v="2023-03-27T00:00:00"/>
    <x v="13"/>
    <s v="Follow-up"/>
    <s v="No-show"/>
    <s v="March"/>
    <x v="8"/>
  </r>
  <r>
    <s v="A187"/>
    <s v="P027"/>
    <s v="D003"/>
    <s v="Jane Smith"/>
    <d v="2023-02-13T00:00:00"/>
    <x v="23"/>
    <s v="Consultation"/>
    <s v="Scheduled"/>
    <s v="February"/>
    <x v="4"/>
  </r>
  <r>
    <s v="A188"/>
    <s v="P002"/>
    <s v="D002"/>
    <s v="Jane Davis"/>
    <d v="2023-04-12T00:00:00"/>
    <x v="35"/>
    <s v="Follow-up"/>
    <s v="Cancelled"/>
    <s v="April"/>
    <x v="5"/>
  </r>
  <r>
    <s v="A189"/>
    <s v="P005"/>
    <s v="D010"/>
    <s v="Linda Wilson"/>
    <d v="2023-10-05T00:00:00"/>
    <x v="33"/>
    <s v="Follow-up"/>
    <s v="Scheduled"/>
    <s v="October"/>
    <x v="7"/>
  </r>
  <r>
    <s v="A190"/>
    <s v="P029"/>
    <s v="D003"/>
    <s v="Jane Smith"/>
    <d v="2023-11-16T00:00:00"/>
    <x v="0"/>
    <s v="Checkup"/>
    <s v="Scheduled"/>
    <s v="November"/>
    <x v="0"/>
  </r>
  <r>
    <s v="A191"/>
    <s v="P037"/>
    <s v="D003"/>
    <s v="Jane Smith"/>
    <d v="2023-04-12T00:00:00"/>
    <x v="10"/>
    <s v="Consultation"/>
    <s v="Cancelled"/>
    <s v="April"/>
    <x v="5"/>
  </r>
  <r>
    <s v="A192"/>
    <s v="P038"/>
    <s v="D005"/>
    <s v="Sarah Taylor"/>
    <d v="2023-08-31T00:00:00"/>
    <x v="18"/>
    <s v="Consultation"/>
    <s v="Cancelled"/>
    <s v="August"/>
    <x v="1"/>
  </r>
  <r>
    <s v="A193"/>
    <s v="P019"/>
    <s v="D005"/>
    <s v="Sarah Taylor"/>
    <d v="2023-09-15T00:00:00"/>
    <x v="38"/>
    <s v="Therapy"/>
    <s v="Cancelled"/>
    <s v="September"/>
    <x v="2"/>
  </r>
  <r>
    <s v="A194"/>
    <s v="P008"/>
    <s v="D002"/>
    <s v="Jane Davis"/>
    <d v="2023-04-06T00:00:00"/>
    <x v="4"/>
    <s v="Therapy"/>
    <s v="Scheduled"/>
    <s v="April"/>
    <x v="4"/>
  </r>
  <r>
    <s v="A195"/>
    <s v="P048"/>
    <s v="D010"/>
    <s v="Linda Wilson"/>
    <d v="2023-08-19T00:00:00"/>
    <x v="13"/>
    <s v="Checkup"/>
    <s v="Scheduled"/>
    <s v="August"/>
    <x v="8"/>
  </r>
  <r>
    <s v="A196"/>
    <s v="P045"/>
    <s v="D006"/>
    <s v="Alex Davis"/>
    <d v="2023-10-26T00:00:00"/>
    <x v="16"/>
    <s v="Checkup"/>
    <s v="Cancelled"/>
    <s v="October"/>
    <x v="3"/>
  </r>
  <r>
    <s v="A197"/>
    <s v="P001"/>
    <s v="D005"/>
    <s v="Sarah Taylor"/>
    <d v="2023-04-01T00:00:00"/>
    <x v="33"/>
    <s v="Emergency"/>
    <s v="No-show"/>
    <s v="April"/>
    <x v="7"/>
  </r>
  <r>
    <s v="A198"/>
    <s v="P022"/>
    <s v="D006"/>
    <s v="Alex Davis"/>
    <d v="2023-05-15T00:00:00"/>
    <x v="32"/>
    <s v="Therapy"/>
    <s v="No-show"/>
    <s v="May"/>
    <x v="2"/>
  </r>
  <r>
    <s v="A199"/>
    <s v="P017"/>
    <s v="D001"/>
    <s v="David Taylor"/>
    <d v="2023-05-01T00:00:00"/>
    <x v="4"/>
    <s v="Follow-up"/>
    <s v="Completed"/>
    <s v="May"/>
    <x v="4"/>
  </r>
  <r>
    <s v="A200"/>
    <s v="P007"/>
    <s v="D005"/>
    <s v="Sarah Taylor"/>
    <d v="2023-12-30T00:00:00"/>
    <x v="36"/>
    <s v="Consultation"/>
    <s v="Cancelled"/>
    <s v="December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E9E26-9797-49AE-9D84-877DDA6A24F9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6:K67" firstHeaderRow="1" firstDataRow="1" firstDataCol="1"/>
  <pivotFields count="10">
    <pivotField dataField="1" showAll="0"/>
    <pivotField showAll="0"/>
    <pivotField showAll="0"/>
    <pivotField showAll="0"/>
    <pivotField numFmtId="14" showAll="0"/>
    <pivotField numFmtId="21" showAll="0" sortType="descending">
      <items count="41">
        <item x="2"/>
        <item x="38"/>
        <item x="32"/>
        <item x="7"/>
        <item x="31"/>
        <item x="3"/>
        <item x="29"/>
        <item x="16"/>
        <item x="11"/>
        <item x="36"/>
        <item x="6"/>
        <item x="20"/>
        <item x="14"/>
        <item x="25"/>
        <item x="22"/>
        <item x="28"/>
        <item x="12"/>
        <item x="34"/>
        <item x="23"/>
        <item x="4"/>
        <item x="17"/>
        <item x="19"/>
        <item x="33"/>
        <item x="8"/>
        <item x="24"/>
        <item x="18"/>
        <item x="1"/>
        <item x="37"/>
        <item x="27"/>
        <item x="0"/>
        <item x="9"/>
        <item x="26"/>
        <item x="10"/>
        <item x="5"/>
        <item x="35"/>
        <item x="39"/>
        <item x="15"/>
        <item x="13"/>
        <item x="3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11">
        <item x="2"/>
        <item x="3"/>
        <item x="6"/>
        <item x="9"/>
        <item x="4"/>
        <item x="7"/>
        <item x="1"/>
        <item x="0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11">
    <i>
      <x v="7"/>
    </i>
    <i>
      <x v="9"/>
    </i>
    <i>
      <x/>
    </i>
    <i>
      <x v="4"/>
    </i>
    <i>
      <x v="5"/>
    </i>
    <i>
      <x v="6"/>
    </i>
    <i>
      <x v="2"/>
    </i>
    <i>
      <x v="3"/>
    </i>
    <i>
      <x v="1"/>
    </i>
    <i>
      <x v="8"/>
    </i>
    <i t="grand">
      <x/>
    </i>
  </rowItems>
  <colItems count="1">
    <i/>
  </colItems>
  <dataFields count="1">
    <dataField name="Count of appoint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4A752-8D4F-43F5-8522-031EB912785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K34:L3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9">
        <item m="1" x="3"/>
        <item m="1" x="33"/>
        <item m="1" x="37"/>
        <item m="1" x="8"/>
        <item m="1" x="10"/>
        <item m="1" x="19"/>
        <item m="1" x="6"/>
        <item m="1" x="16"/>
        <item m="1" x="23"/>
        <item m="1" x="35"/>
        <item m="1" x="7"/>
        <item m="1" x="27"/>
        <item m="1" x="31"/>
        <item m="1" x="12"/>
        <item m="1" x="36"/>
        <item m="1" x="30"/>
        <item m="1" x="4"/>
        <item m="1" x="5"/>
        <item m="1" x="28"/>
        <item m="1" x="20"/>
        <item m="1" x="26"/>
        <item m="1" x="34"/>
        <item m="1" x="32"/>
        <item m="1" x="13"/>
        <item m="1" x="17"/>
        <item m="1" x="24"/>
        <item m="1" x="18"/>
        <item m="1" x="22"/>
        <item m="1" x="29"/>
        <item m="1" x="15"/>
        <item m="1" x="9"/>
        <item m="1" x="25"/>
        <item m="1" x="21"/>
        <item m="1" x="14"/>
        <item m="1" x="11"/>
        <item x="0"/>
        <item x="1"/>
        <item x="2"/>
        <item t="default"/>
      </items>
    </pivotField>
  </pivotFields>
  <rowFields count="1">
    <field x="15"/>
  </rowFields>
  <rowItems count="4">
    <i>
      <x v="35"/>
    </i>
    <i>
      <x v="36"/>
    </i>
    <i>
      <x v="37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22:K29" firstHeaderRow="1" firstDataRow="1" firstDataCol="1"/>
  <pivotFields count="16">
    <pivotField showAll="0"/>
    <pivotField showAll="0"/>
    <pivotField showAll="0"/>
    <pivotField showAll="0"/>
    <pivotField showAll="0"/>
    <pivotField axis="axisRow" showAll="0" defaultSubtotal="0">
      <items count="6">
        <item x="2"/>
        <item x="1"/>
        <item x="3"/>
        <item x="5"/>
        <item x="4"/>
        <item x="0"/>
      </items>
    </pivotField>
    <pivotField numFmtId="14" showAll="0" defaultSubtotal="0"/>
    <pivotField numFmtId="14" showAll="0"/>
    <pivotField showAll="0"/>
    <pivotField showAll="0"/>
    <pivotField showAll="0"/>
    <pivotField showAll="0"/>
    <pivotField showAll="0"/>
    <pivotField showAll="0"/>
    <pivotField dataField="1" showAll="0" defaultSubtota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Lag_day" fld="14" subtotal="average" baseField="5" baseItem="0"/>
  </dataFields>
  <formats count="1">
    <format dxfId="8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10:K14" firstHeaderRow="1" firstDataRow="1" firstDataCol="1"/>
  <pivotFields count="16">
    <pivotField showAll="0"/>
    <pivotField showAll="0"/>
    <pivotField showAll="0"/>
    <pivotField showAll="0"/>
    <pivotField showAll="0"/>
    <pivotField showAll="0" defaultSubtotal="0"/>
    <pivotField numFmtId="14" showAll="0" defaultSubtotal="0"/>
    <pivotField numFmtId="14" showAll="0"/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 defaultSubtota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ctor" displayName="Doctor" ref="A1:H11" totalsRowShown="0">
  <autoFilter ref="A1:H11" xr:uid="{00000000-0009-0000-0100-000001000000}"/>
  <tableColumns count="8">
    <tableColumn id="1" xr3:uid="{00000000-0010-0000-0000-000001000000}" name="doctor_id"/>
    <tableColumn id="2" xr3:uid="{00000000-0010-0000-0000-000002000000}" name="first_name"/>
    <tableColumn id="3" xr3:uid="{00000000-0010-0000-0000-000003000000}" name="last_name"/>
    <tableColumn id="4" xr3:uid="{00000000-0010-0000-0000-000004000000}" name="specialization"/>
    <tableColumn id="5" xr3:uid="{00000000-0010-0000-0000-000005000000}" name="phone_number"/>
    <tableColumn id="6" xr3:uid="{00000000-0010-0000-0000-000006000000}" name="years_experience"/>
    <tableColumn id="7" xr3:uid="{00000000-0010-0000-0000-000007000000}" name="hospital_branch"/>
    <tableColumn id="8" xr3:uid="{00000000-0010-0000-0000-000008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atient" displayName="Patient" ref="A1:L51" totalsRowShown="0">
  <autoFilter ref="A1:L51" xr:uid="{00000000-0009-0000-0100-000003000000}"/>
  <tableColumns count="12">
    <tableColumn id="1" xr3:uid="{00000000-0010-0000-0100-000001000000}" name="patient_id"/>
    <tableColumn id="2" xr3:uid="{00000000-0010-0000-0100-000002000000}" name="first_name"/>
    <tableColumn id="3" xr3:uid="{00000000-0010-0000-0100-000003000000}" name="last_name"/>
    <tableColumn id="4" xr3:uid="{00000000-0010-0000-0100-000004000000}" name="gender"/>
    <tableColumn id="5" xr3:uid="{00000000-0010-0000-0100-000005000000}" name="date_of_birth" dataDxfId="20"/>
    <tableColumn id="6" xr3:uid="{00000000-0010-0000-0100-000006000000}" name="contact_number"/>
    <tableColumn id="7" xr3:uid="{00000000-0010-0000-0100-000007000000}" name="address"/>
    <tableColumn id="8" xr3:uid="{00000000-0010-0000-0100-000008000000}" name="registration_date" dataDxfId="19"/>
    <tableColumn id="9" xr3:uid="{00000000-0010-0000-0100-000009000000}" name="insurance_provider"/>
    <tableColumn id="10" xr3:uid="{00000000-0010-0000-0100-00000A000000}" name="insurance_number"/>
    <tableColumn id="11" xr3:uid="{00000000-0010-0000-0100-00000B000000}" name="email"/>
    <tableColumn id="16" xr3:uid="{0157CF63-C8AB-4947-9CE7-8E300116587F}" name="Reg_Year" dataDxfId="5">
      <calculatedColumnFormula>YEAR(Patient[[#This Row],[registration_date]])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Appointment" displayName="Appointment" ref="A1:J201" totalsRowShown="0">
  <autoFilter ref="A1:J201" xr:uid="{00000000-0009-0000-0100-000004000000}"/>
  <tableColumns count="10">
    <tableColumn id="1" xr3:uid="{00000000-0010-0000-0200-000001000000}" name="appointment_id"/>
    <tableColumn id="2" xr3:uid="{00000000-0010-0000-0200-000002000000}" name="patient_id"/>
    <tableColumn id="3" xr3:uid="{00000000-0010-0000-0200-000003000000}" name="doctor_id"/>
    <tableColumn id="4" xr3:uid="{00000000-0010-0000-0200-000004000000}" name="Doctor_Name"/>
    <tableColumn id="5" xr3:uid="{00000000-0010-0000-0200-000005000000}" name="appointment_date" dataDxfId="2"/>
    <tableColumn id="6" xr3:uid="{00000000-0010-0000-0200-000006000000}" name="appointment_time" dataDxfId="1"/>
    <tableColumn id="7" xr3:uid="{00000000-0010-0000-0200-000007000000}" name="reason_for_visit"/>
    <tableColumn id="8" xr3:uid="{00000000-0010-0000-0200-000008000000}" name="status"/>
    <tableColumn id="9" xr3:uid="{00000000-0010-0000-0200-000009000000}" name="Month_name" dataDxfId="3">
      <calculatedColumnFormula>TEXT(E:E,"mmmm")</calculatedColumnFormula>
    </tableColumn>
    <tableColumn id="10" xr3:uid="{BADF2BD1-2366-461B-855D-DE2E03F16220}" name="Column1" dataDxfId="0">
      <calculatedColumnFormula>HOUR(Appointment[[#This Row],[appointment_time]])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reatment" displayName="Treatment" ref="A1:F201" totalsRowShown="0">
  <autoFilter ref="A1:F201" xr:uid="{00000000-0009-0000-0100-000005000000}"/>
  <tableColumns count="6">
    <tableColumn id="1" xr3:uid="{00000000-0010-0000-0300-000001000000}" name="treatment_id"/>
    <tableColumn id="2" xr3:uid="{00000000-0010-0000-0300-000002000000}" name="appointment_id"/>
    <tableColumn id="3" xr3:uid="{00000000-0010-0000-0300-000003000000}" name="treatment_type"/>
    <tableColumn id="4" xr3:uid="{00000000-0010-0000-0300-000004000000}" name="description"/>
    <tableColumn id="5" xr3:uid="{00000000-0010-0000-0300-000005000000}" name="cost"/>
    <tableColumn id="6" xr3:uid="{00000000-0010-0000-0300-000006000000}" name="treatment_date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Belling" displayName="Belling" ref="A1:P201" totalsRowShown="0">
  <autoFilter ref="A1:P201" xr:uid="{00000000-0009-0000-0100-000002000000}"/>
  <tableColumns count="16">
    <tableColumn id="1" xr3:uid="{00000000-0010-0000-0400-000001000000}" name="bill_id"/>
    <tableColumn id="2" xr3:uid="{00000000-0010-0000-0400-000002000000}" name="patient_id"/>
    <tableColumn id="3" xr3:uid="{00000000-0010-0000-0400-000003000000}" name="treatment_id"/>
    <tableColumn id="10" xr3:uid="{00000000-0010-0000-0400-00000A000000}" name="Appointment ID" dataDxfId="17">
      <calculatedColumnFormula>VLOOKUP(C:C,Treatment[#All],2,0)</calculatedColumnFormula>
    </tableColumn>
    <tableColumn id="11" xr3:uid="{00000000-0010-0000-0400-00000B000000}" name="Docter_id" dataDxfId="16">
      <calculatedColumnFormula>VLOOKUP(D:D,Appointment[#All],3,0)</calculatedColumnFormula>
    </tableColumn>
    <tableColumn id="13" xr3:uid="{00000000-0010-0000-0400-00000D000000}" name="Dpctor_name " dataDxfId="15">
      <calculatedColumnFormula>VLOOKUP(Belling[[#This Row],[Docter_id]],Doctor[#All],2,FALSE)</calculatedColumnFormula>
    </tableColumn>
    <tableColumn id="15" xr3:uid="{00000000-0010-0000-0400-00000F000000}" name="Appointment_date" dataDxfId="14">
      <calculatedColumnFormula>VLOOKUP(Belling[[#This Row],[Appointment ID]],Appointment[#All],5,FALSE)</calculatedColumnFormula>
    </tableColumn>
    <tableColumn id="4" xr3:uid="{00000000-0010-0000-0400-000004000000}" name="bill_date" dataDxfId="13"/>
    <tableColumn id="5" xr3:uid="{00000000-0010-0000-0400-000005000000}" name="amount"/>
    <tableColumn id="6" xr3:uid="{00000000-0010-0000-0400-000006000000}" name="payment_method"/>
    <tableColumn id="7" xr3:uid="{00000000-0010-0000-0400-000007000000}" name="payment_status"/>
    <tableColumn id="8" xr3:uid="{00000000-0010-0000-0400-000008000000}" name="Provider" dataDxfId="12">
      <calculatedColumnFormula>VLOOKUP(Belling[[#This Row],[patient_id]],Patient[#All],9,FALSE)</calculatedColumnFormula>
    </tableColumn>
    <tableColumn id="9" xr3:uid="{00000000-0010-0000-0400-000009000000}" name="Audit_Status" dataDxfId="11">
      <calculatedColumnFormula>IF(OR(K2="Failed", K2="Pending"), "Check Required", "Clear")</calculatedColumnFormula>
    </tableColumn>
    <tableColumn id="12" xr3:uid="{00000000-0010-0000-0400-00000C000000}" name="Specialization" dataDxfId="10">
      <calculatedColumnFormula>VLOOKUP(E:E,Doctor[#All],4,0)</calculatedColumnFormula>
    </tableColumn>
    <tableColumn id="14" xr3:uid="{00000000-0010-0000-0400-00000E000000}" name="Lag_day" dataDxfId="9">
      <calculatedColumnFormula xml:space="preserve"> H2 - G2</calculatedColumnFormula>
    </tableColumn>
    <tableColumn id="16" xr3:uid="{DDDC3068-7622-43A1-95E3-2609690473B4}" name="Patient Reg Year" dataDxfId="7">
      <calculatedColumnFormula>VLOOKUP(Belling[[#This Row],[patient_id]],Patient[#All],12,FALSE)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L3" sqref="L3"/>
    </sheetView>
  </sheetViews>
  <sheetFormatPr defaultRowHeight="15" x14ac:dyDescent="0.25"/>
  <cols>
    <col min="1" max="1" width="11.5703125" customWidth="1"/>
    <col min="2" max="2" width="12.7109375" customWidth="1"/>
    <col min="3" max="3" width="12.28515625" customWidth="1"/>
    <col min="4" max="4" width="15.28515625" customWidth="1"/>
    <col min="5" max="5" width="16.85546875" customWidth="1"/>
    <col min="6" max="6" width="18.85546875" customWidth="1"/>
    <col min="7" max="7" width="17.28515625" customWidth="1"/>
  </cols>
  <sheetData>
    <row r="1" spans="1:12" x14ac:dyDescent="0.25">
      <c r="A1" t="s">
        <v>594</v>
      </c>
      <c r="B1" t="s">
        <v>415</v>
      </c>
      <c r="C1" t="s">
        <v>416</v>
      </c>
      <c r="D1" t="s">
        <v>595</v>
      </c>
      <c r="E1" t="s">
        <v>596</v>
      </c>
      <c r="F1" t="s">
        <v>597</v>
      </c>
      <c r="G1" t="s">
        <v>598</v>
      </c>
      <c r="H1" t="s">
        <v>424</v>
      </c>
    </row>
    <row r="2" spans="1:12" x14ac:dyDescent="0.25">
      <c r="A2" t="s">
        <v>599</v>
      </c>
      <c r="B2" t="s">
        <v>426</v>
      </c>
      <c r="C2" t="s">
        <v>475</v>
      </c>
      <c r="D2" t="s">
        <v>600</v>
      </c>
      <c r="E2">
        <v>8322010158</v>
      </c>
      <c r="F2">
        <v>17</v>
      </c>
      <c r="G2" t="s">
        <v>601</v>
      </c>
      <c r="H2" t="s">
        <v>602</v>
      </c>
    </row>
    <row r="3" spans="1:12" x14ac:dyDescent="0.25">
      <c r="A3" t="s">
        <v>603</v>
      </c>
      <c r="B3" t="s">
        <v>496</v>
      </c>
      <c r="C3" t="s">
        <v>467</v>
      </c>
      <c r="D3" t="s">
        <v>604</v>
      </c>
      <c r="E3">
        <v>9004382050</v>
      </c>
      <c r="F3">
        <v>24</v>
      </c>
      <c r="G3" t="s">
        <v>605</v>
      </c>
      <c r="H3" t="s">
        <v>606</v>
      </c>
      <c r="L3" s="5">
        <f>AVERAGEIF(G:G, "Eastside Clinic", F:F)</f>
        <v>21.333333333333332</v>
      </c>
    </row>
    <row r="4" spans="1:12" x14ac:dyDescent="0.25">
      <c r="A4" t="s">
        <v>607</v>
      </c>
      <c r="B4" t="s">
        <v>496</v>
      </c>
      <c r="C4" t="s">
        <v>435</v>
      </c>
      <c r="D4" t="s">
        <v>604</v>
      </c>
      <c r="E4">
        <v>8737740598</v>
      </c>
      <c r="F4">
        <v>19</v>
      </c>
      <c r="G4" t="s">
        <v>605</v>
      </c>
      <c r="H4" t="s">
        <v>608</v>
      </c>
    </row>
    <row r="5" spans="1:12" x14ac:dyDescent="0.25">
      <c r="A5" t="s">
        <v>609</v>
      </c>
      <c r="B5" t="s">
        <v>426</v>
      </c>
      <c r="C5" t="s">
        <v>442</v>
      </c>
      <c r="D5" t="s">
        <v>604</v>
      </c>
      <c r="E5">
        <v>6594221991</v>
      </c>
      <c r="F5">
        <v>28</v>
      </c>
      <c r="G5" t="s">
        <v>610</v>
      </c>
      <c r="H5" t="s">
        <v>611</v>
      </c>
    </row>
    <row r="6" spans="1:12" x14ac:dyDescent="0.25">
      <c r="A6" t="s">
        <v>612</v>
      </c>
      <c r="B6" t="s">
        <v>490</v>
      </c>
      <c r="C6" t="s">
        <v>475</v>
      </c>
      <c r="D6" t="s">
        <v>600</v>
      </c>
      <c r="E6">
        <v>9118538547</v>
      </c>
      <c r="F6">
        <v>26</v>
      </c>
      <c r="G6" t="s">
        <v>610</v>
      </c>
      <c r="H6" t="s">
        <v>613</v>
      </c>
    </row>
    <row r="7" spans="1:12" x14ac:dyDescent="0.25">
      <c r="A7" t="s">
        <v>614</v>
      </c>
      <c r="B7" t="s">
        <v>463</v>
      </c>
      <c r="C7" t="s">
        <v>467</v>
      </c>
      <c r="D7" t="s">
        <v>604</v>
      </c>
      <c r="E7">
        <v>6570137231</v>
      </c>
      <c r="F7">
        <v>23</v>
      </c>
      <c r="G7" t="s">
        <v>610</v>
      </c>
      <c r="H7" t="s">
        <v>615</v>
      </c>
    </row>
    <row r="8" spans="1:12" x14ac:dyDescent="0.25">
      <c r="A8" t="s">
        <v>616</v>
      </c>
      <c r="B8" t="s">
        <v>525</v>
      </c>
      <c r="C8" t="s">
        <v>467</v>
      </c>
      <c r="D8" t="s">
        <v>617</v>
      </c>
      <c r="E8">
        <v>8217493115</v>
      </c>
      <c r="F8">
        <v>26</v>
      </c>
      <c r="G8" t="s">
        <v>601</v>
      </c>
      <c r="H8" t="s">
        <v>618</v>
      </c>
    </row>
    <row r="9" spans="1:12" x14ac:dyDescent="0.25">
      <c r="A9" t="s">
        <v>619</v>
      </c>
      <c r="B9" t="s">
        <v>459</v>
      </c>
      <c r="C9" t="s">
        <v>515</v>
      </c>
      <c r="D9" t="s">
        <v>600</v>
      </c>
      <c r="E9">
        <v>9069162601</v>
      </c>
      <c r="F9">
        <v>5</v>
      </c>
      <c r="G9" t="s">
        <v>601</v>
      </c>
      <c r="H9" t="s">
        <v>620</v>
      </c>
    </row>
    <row r="10" spans="1:12" x14ac:dyDescent="0.25">
      <c r="A10" t="s">
        <v>621</v>
      </c>
      <c r="B10" t="s">
        <v>490</v>
      </c>
      <c r="C10" t="s">
        <v>435</v>
      </c>
      <c r="D10" t="s">
        <v>604</v>
      </c>
      <c r="E10">
        <v>7387087517</v>
      </c>
      <c r="F10">
        <v>26</v>
      </c>
      <c r="G10" t="s">
        <v>610</v>
      </c>
      <c r="H10" t="s">
        <v>622</v>
      </c>
    </row>
    <row r="11" spans="1:12" x14ac:dyDescent="0.25">
      <c r="A11" t="s">
        <v>623</v>
      </c>
      <c r="B11" t="s">
        <v>459</v>
      </c>
      <c r="C11" t="s">
        <v>454</v>
      </c>
      <c r="D11" t="s">
        <v>617</v>
      </c>
      <c r="E11">
        <v>6176383634</v>
      </c>
      <c r="F11">
        <v>21</v>
      </c>
      <c r="G11" t="s">
        <v>605</v>
      </c>
      <c r="H11" t="s">
        <v>624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opLeftCell="B1" zoomScaleNormal="100" workbookViewId="0">
      <selection activeCell="L3" sqref="L3"/>
    </sheetView>
  </sheetViews>
  <sheetFormatPr defaultRowHeight="15" x14ac:dyDescent="0.25"/>
  <cols>
    <col min="1" max="1" width="12.28515625" customWidth="1"/>
    <col min="2" max="2" width="12.7109375" customWidth="1"/>
    <col min="3" max="3" width="12.28515625" customWidth="1"/>
    <col min="4" max="4" width="9.42578125" customWidth="1"/>
    <col min="5" max="5" width="15.28515625" customWidth="1"/>
    <col min="6" max="6" width="17.5703125" customWidth="1"/>
    <col min="7" max="7" width="12.42578125" bestFit="1" customWidth="1"/>
    <col min="8" max="8" width="18.42578125" customWidth="1"/>
    <col min="9" max="9" width="20.28515625" customWidth="1"/>
    <col min="10" max="10" width="19.7109375" customWidth="1"/>
    <col min="11" max="11" width="26.28515625" bestFit="1" customWidth="1"/>
  </cols>
  <sheetData>
    <row r="1" spans="1:12" x14ac:dyDescent="0.25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888</v>
      </c>
    </row>
    <row r="2" spans="1:12" x14ac:dyDescent="0.25">
      <c r="A2" t="s">
        <v>425</v>
      </c>
      <c r="B2" t="s">
        <v>426</v>
      </c>
      <c r="C2" t="s">
        <v>427</v>
      </c>
      <c r="D2" t="s">
        <v>428</v>
      </c>
      <c r="E2" s="1">
        <v>20244</v>
      </c>
      <c r="F2">
        <v>6939585183</v>
      </c>
      <c r="G2" t="s">
        <v>429</v>
      </c>
      <c r="H2" s="1">
        <v>44735</v>
      </c>
      <c r="I2" t="s">
        <v>430</v>
      </c>
      <c r="J2" t="s">
        <v>431</v>
      </c>
      <c r="K2" t="s">
        <v>432</v>
      </c>
      <c r="L2">
        <f>YEAR(Patient[[#This Row],[registration_date]])</f>
        <v>2022</v>
      </c>
    </row>
    <row r="3" spans="1:12" x14ac:dyDescent="0.25">
      <c r="A3" t="s">
        <v>433</v>
      </c>
      <c r="B3" t="s">
        <v>434</v>
      </c>
      <c r="C3" t="s">
        <v>435</v>
      </c>
      <c r="D3" t="s">
        <v>428</v>
      </c>
      <c r="E3" s="1">
        <v>30967</v>
      </c>
      <c r="F3">
        <v>8228188767</v>
      </c>
      <c r="G3" t="s">
        <v>436</v>
      </c>
      <c r="H3" s="1">
        <v>44576</v>
      </c>
      <c r="I3" t="s">
        <v>437</v>
      </c>
      <c r="J3" t="s">
        <v>438</v>
      </c>
      <c r="K3" t="s">
        <v>439</v>
      </c>
      <c r="L3">
        <f>YEAR(Patient[[#This Row],[registration_date]])</f>
        <v>2022</v>
      </c>
    </row>
    <row r="4" spans="1:12" x14ac:dyDescent="0.25">
      <c r="A4" t="s">
        <v>440</v>
      </c>
      <c r="B4" t="s">
        <v>441</v>
      </c>
      <c r="C4" t="s">
        <v>442</v>
      </c>
      <c r="D4" t="s">
        <v>443</v>
      </c>
      <c r="E4" s="1">
        <v>28358</v>
      </c>
      <c r="F4">
        <v>8397029847</v>
      </c>
      <c r="G4" t="s">
        <v>436</v>
      </c>
      <c r="H4" s="1">
        <v>44599</v>
      </c>
      <c r="I4" t="s">
        <v>437</v>
      </c>
      <c r="J4" t="s">
        <v>444</v>
      </c>
      <c r="K4" t="s">
        <v>445</v>
      </c>
      <c r="L4">
        <f>YEAR(Patient[[#This Row],[registration_date]])</f>
        <v>2022</v>
      </c>
    </row>
    <row r="5" spans="1:12" x14ac:dyDescent="0.25">
      <c r="A5" t="s">
        <v>446</v>
      </c>
      <c r="B5" t="s">
        <v>447</v>
      </c>
      <c r="C5" t="s">
        <v>448</v>
      </c>
      <c r="D5" t="s">
        <v>428</v>
      </c>
      <c r="E5" s="1">
        <v>29637</v>
      </c>
      <c r="F5">
        <v>9019443432</v>
      </c>
      <c r="G5" t="s">
        <v>449</v>
      </c>
      <c r="H5" s="1">
        <v>44257</v>
      </c>
      <c r="I5" t="s">
        <v>450</v>
      </c>
      <c r="J5" t="s">
        <v>451</v>
      </c>
      <c r="K5" t="s">
        <v>452</v>
      </c>
      <c r="L5">
        <f>YEAR(Patient[[#This Row],[registration_date]])</f>
        <v>2021</v>
      </c>
    </row>
    <row r="6" spans="1:12" x14ac:dyDescent="0.25">
      <c r="A6" t="s">
        <v>453</v>
      </c>
      <c r="B6" t="s">
        <v>426</v>
      </c>
      <c r="C6" t="s">
        <v>454</v>
      </c>
      <c r="D6" t="s">
        <v>443</v>
      </c>
      <c r="E6" s="1">
        <v>22090</v>
      </c>
      <c r="F6">
        <v>7734463155</v>
      </c>
      <c r="G6" t="s">
        <v>449</v>
      </c>
      <c r="H6" s="1">
        <v>44468</v>
      </c>
      <c r="I6" t="s">
        <v>455</v>
      </c>
      <c r="J6" t="s">
        <v>456</v>
      </c>
      <c r="K6" t="s">
        <v>457</v>
      </c>
      <c r="L6">
        <f>YEAR(Patient[[#This Row],[registration_date]])</f>
        <v>2021</v>
      </c>
    </row>
    <row r="7" spans="1:12" x14ac:dyDescent="0.25">
      <c r="A7" t="s">
        <v>458</v>
      </c>
      <c r="B7" t="s">
        <v>459</v>
      </c>
      <c r="C7" t="s">
        <v>442</v>
      </c>
      <c r="D7" t="s">
        <v>443</v>
      </c>
      <c r="E7" s="1">
        <v>23178</v>
      </c>
      <c r="F7">
        <v>7561777264</v>
      </c>
      <c r="G7" t="s">
        <v>436</v>
      </c>
      <c r="H7" s="1">
        <v>44836</v>
      </c>
      <c r="I7" t="s">
        <v>450</v>
      </c>
      <c r="J7" t="s">
        <v>460</v>
      </c>
      <c r="K7" t="s">
        <v>461</v>
      </c>
      <c r="L7">
        <f>YEAR(Patient[[#This Row],[registration_date]])</f>
        <v>2022</v>
      </c>
    </row>
    <row r="8" spans="1:12" x14ac:dyDescent="0.25">
      <c r="A8" t="s">
        <v>462</v>
      </c>
      <c r="B8" t="s">
        <v>463</v>
      </c>
      <c r="C8" t="s">
        <v>448</v>
      </c>
      <c r="D8" t="s">
        <v>428</v>
      </c>
      <c r="E8" s="1">
        <v>32667</v>
      </c>
      <c r="F8">
        <v>6278710077</v>
      </c>
      <c r="G8" t="s">
        <v>429</v>
      </c>
      <c r="H8" s="1">
        <v>44555</v>
      </c>
      <c r="I8" t="s">
        <v>455</v>
      </c>
      <c r="J8" t="s">
        <v>464</v>
      </c>
      <c r="K8" t="s">
        <v>465</v>
      </c>
      <c r="L8">
        <f>YEAR(Patient[[#This Row],[registration_date]])</f>
        <v>2021</v>
      </c>
    </row>
    <row r="9" spans="1:12" x14ac:dyDescent="0.25">
      <c r="A9" t="s">
        <v>466</v>
      </c>
      <c r="B9" t="s">
        <v>426</v>
      </c>
      <c r="C9" t="s">
        <v>467</v>
      </c>
      <c r="D9" t="s">
        <v>428</v>
      </c>
      <c r="E9" s="1">
        <v>27946</v>
      </c>
      <c r="F9">
        <v>7090558393</v>
      </c>
      <c r="G9" t="s">
        <v>468</v>
      </c>
      <c r="H9" s="1">
        <v>44341</v>
      </c>
      <c r="I9" t="s">
        <v>430</v>
      </c>
      <c r="J9" t="s">
        <v>469</v>
      </c>
      <c r="K9" t="s">
        <v>470</v>
      </c>
      <c r="L9">
        <f>YEAR(Patient[[#This Row],[registration_date]])</f>
        <v>2021</v>
      </c>
    </row>
    <row r="10" spans="1:12" x14ac:dyDescent="0.25">
      <c r="A10" t="s">
        <v>471</v>
      </c>
      <c r="B10" t="s">
        <v>441</v>
      </c>
      <c r="C10" t="s">
        <v>467</v>
      </c>
      <c r="D10" t="s">
        <v>443</v>
      </c>
      <c r="E10" s="1">
        <v>26278</v>
      </c>
      <c r="F10">
        <v>7060324619</v>
      </c>
      <c r="G10" t="s">
        <v>436</v>
      </c>
      <c r="H10" s="1">
        <v>44822</v>
      </c>
      <c r="I10" t="s">
        <v>437</v>
      </c>
      <c r="J10" t="s">
        <v>472</v>
      </c>
      <c r="K10" t="s">
        <v>473</v>
      </c>
      <c r="L10">
        <f>YEAR(Patient[[#This Row],[registration_date]])</f>
        <v>2022</v>
      </c>
    </row>
    <row r="11" spans="1:12" x14ac:dyDescent="0.25">
      <c r="A11" t="s">
        <v>474</v>
      </c>
      <c r="B11" t="s">
        <v>447</v>
      </c>
      <c r="C11" t="s">
        <v>475</v>
      </c>
      <c r="D11" t="s">
        <v>443</v>
      </c>
      <c r="E11" s="1">
        <v>37177</v>
      </c>
      <c r="F11">
        <v>7081396733</v>
      </c>
      <c r="G11" t="s">
        <v>449</v>
      </c>
      <c r="H11" s="1">
        <v>44797</v>
      </c>
      <c r="I11" t="s">
        <v>430</v>
      </c>
      <c r="J11" t="s">
        <v>476</v>
      </c>
      <c r="K11" t="s">
        <v>477</v>
      </c>
      <c r="L11">
        <f>YEAR(Patient[[#This Row],[registration_date]])</f>
        <v>2022</v>
      </c>
    </row>
    <row r="12" spans="1:12" x14ac:dyDescent="0.25">
      <c r="A12" t="s">
        <v>478</v>
      </c>
      <c r="B12" t="s">
        <v>434</v>
      </c>
      <c r="C12" t="s">
        <v>442</v>
      </c>
      <c r="D12" t="s">
        <v>428</v>
      </c>
      <c r="E12" s="1">
        <v>24445</v>
      </c>
      <c r="F12">
        <v>8990604070</v>
      </c>
      <c r="G12" t="s">
        <v>429</v>
      </c>
      <c r="H12" s="1">
        <v>44831</v>
      </c>
      <c r="I12" t="s">
        <v>455</v>
      </c>
      <c r="J12" t="s">
        <v>479</v>
      </c>
      <c r="K12" t="s">
        <v>480</v>
      </c>
      <c r="L12">
        <f>YEAR(Patient[[#This Row],[registration_date]])</f>
        <v>2022</v>
      </c>
    </row>
    <row r="13" spans="1:12" x14ac:dyDescent="0.25">
      <c r="A13" t="s">
        <v>481</v>
      </c>
      <c r="B13" t="s">
        <v>441</v>
      </c>
      <c r="C13" t="s">
        <v>467</v>
      </c>
      <c r="D13" t="s">
        <v>428</v>
      </c>
      <c r="E13" s="1">
        <v>33580</v>
      </c>
      <c r="F13">
        <v>8135666049</v>
      </c>
      <c r="G13" t="s">
        <v>436</v>
      </c>
      <c r="H13" s="1">
        <v>45043</v>
      </c>
      <c r="I13" t="s">
        <v>455</v>
      </c>
      <c r="J13" t="s">
        <v>482</v>
      </c>
      <c r="K13" t="s">
        <v>473</v>
      </c>
      <c r="L13">
        <f>YEAR(Patient[[#This Row],[registration_date]])</f>
        <v>2023</v>
      </c>
    </row>
    <row r="14" spans="1:12" x14ac:dyDescent="0.25">
      <c r="A14" t="s">
        <v>483</v>
      </c>
      <c r="B14" t="s">
        <v>441</v>
      </c>
      <c r="C14" t="s">
        <v>448</v>
      </c>
      <c r="D14" t="s">
        <v>428</v>
      </c>
      <c r="E14" s="1">
        <v>32960</v>
      </c>
      <c r="F14">
        <v>9059178882</v>
      </c>
      <c r="G14" t="s">
        <v>436</v>
      </c>
      <c r="H14" s="1">
        <v>44553</v>
      </c>
      <c r="I14" t="s">
        <v>430</v>
      </c>
      <c r="J14" t="s">
        <v>484</v>
      </c>
      <c r="K14" t="s">
        <v>485</v>
      </c>
      <c r="L14">
        <f>YEAR(Patient[[#This Row],[registration_date]])</f>
        <v>2021</v>
      </c>
    </row>
    <row r="15" spans="1:12" x14ac:dyDescent="0.25">
      <c r="A15" t="s">
        <v>486</v>
      </c>
      <c r="B15" t="s">
        <v>463</v>
      </c>
      <c r="C15" t="s">
        <v>475</v>
      </c>
      <c r="D15" t="s">
        <v>443</v>
      </c>
      <c r="E15" s="1">
        <v>24895</v>
      </c>
      <c r="F15">
        <v>7292262512</v>
      </c>
      <c r="G15" t="s">
        <v>429</v>
      </c>
      <c r="H15" s="1">
        <v>45272</v>
      </c>
      <c r="I15" t="s">
        <v>455</v>
      </c>
      <c r="J15" t="s">
        <v>487</v>
      </c>
      <c r="K15" t="s">
        <v>488</v>
      </c>
      <c r="L15">
        <f>YEAR(Patient[[#This Row],[registration_date]])</f>
        <v>2023</v>
      </c>
    </row>
    <row r="16" spans="1:12" x14ac:dyDescent="0.25">
      <c r="A16" t="s">
        <v>489</v>
      </c>
      <c r="B16" t="s">
        <v>490</v>
      </c>
      <c r="C16" t="s">
        <v>448</v>
      </c>
      <c r="D16" t="s">
        <v>443</v>
      </c>
      <c r="E16" s="1">
        <v>23508</v>
      </c>
      <c r="F16">
        <v>6636028516</v>
      </c>
      <c r="G16" t="s">
        <v>436</v>
      </c>
      <c r="H16" s="1">
        <v>44464</v>
      </c>
      <c r="I16" t="s">
        <v>430</v>
      </c>
      <c r="J16" t="s">
        <v>491</v>
      </c>
      <c r="K16" t="s">
        <v>492</v>
      </c>
      <c r="L16">
        <f>YEAR(Patient[[#This Row],[registration_date]])</f>
        <v>2021</v>
      </c>
    </row>
    <row r="17" spans="1:12" x14ac:dyDescent="0.25">
      <c r="A17" t="s">
        <v>493</v>
      </c>
      <c r="B17" t="s">
        <v>447</v>
      </c>
      <c r="C17" t="s">
        <v>475</v>
      </c>
      <c r="D17" t="s">
        <v>443</v>
      </c>
      <c r="E17" s="1">
        <v>36729</v>
      </c>
      <c r="F17">
        <v>7223380592</v>
      </c>
      <c r="G17" t="s">
        <v>429</v>
      </c>
      <c r="H17" s="1">
        <v>44400</v>
      </c>
      <c r="I17" t="s">
        <v>437</v>
      </c>
      <c r="J17" t="s">
        <v>494</v>
      </c>
      <c r="K17" t="s">
        <v>477</v>
      </c>
      <c r="L17">
        <f>YEAR(Patient[[#This Row],[registration_date]])</f>
        <v>2021</v>
      </c>
    </row>
    <row r="18" spans="1:12" x14ac:dyDescent="0.25">
      <c r="A18" t="s">
        <v>495</v>
      </c>
      <c r="B18" t="s">
        <v>496</v>
      </c>
      <c r="C18" t="s">
        <v>442</v>
      </c>
      <c r="D18" t="s">
        <v>443</v>
      </c>
      <c r="E18" s="1">
        <v>33359</v>
      </c>
      <c r="F18">
        <v>6158428240</v>
      </c>
      <c r="G18" t="s">
        <v>468</v>
      </c>
      <c r="H18" s="1">
        <v>44830</v>
      </c>
      <c r="I18" t="s">
        <v>430</v>
      </c>
      <c r="J18" t="s">
        <v>497</v>
      </c>
      <c r="K18" t="s">
        <v>498</v>
      </c>
      <c r="L18">
        <f>YEAR(Patient[[#This Row],[registration_date]])</f>
        <v>2022</v>
      </c>
    </row>
    <row r="19" spans="1:12" x14ac:dyDescent="0.25">
      <c r="A19" t="s">
        <v>499</v>
      </c>
      <c r="B19" t="s">
        <v>441</v>
      </c>
      <c r="C19" t="s">
        <v>454</v>
      </c>
      <c r="D19" t="s">
        <v>443</v>
      </c>
      <c r="E19" s="1">
        <v>29122</v>
      </c>
      <c r="F19">
        <v>7145815738</v>
      </c>
      <c r="G19" t="s">
        <v>429</v>
      </c>
      <c r="H19" s="1">
        <v>44827</v>
      </c>
      <c r="I19" t="s">
        <v>437</v>
      </c>
      <c r="J19" t="s">
        <v>500</v>
      </c>
      <c r="K19" t="s">
        <v>501</v>
      </c>
      <c r="L19">
        <f>YEAR(Patient[[#This Row],[registration_date]])</f>
        <v>2022</v>
      </c>
    </row>
    <row r="20" spans="1:12" x14ac:dyDescent="0.25">
      <c r="A20" t="s">
        <v>502</v>
      </c>
      <c r="B20" t="s">
        <v>490</v>
      </c>
      <c r="C20" t="s">
        <v>503</v>
      </c>
      <c r="D20" t="s">
        <v>443</v>
      </c>
      <c r="E20" s="1">
        <v>27538</v>
      </c>
      <c r="F20">
        <v>8618058864</v>
      </c>
      <c r="G20" t="s">
        <v>429</v>
      </c>
      <c r="H20" s="1">
        <v>45101</v>
      </c>
      <c r="I20" t="s">
        <v>430</v>
      </c>
      <c r="J20" t="s">
        <v>504</v>
      </c>
      <c r="K20" t="s">
        <v>505</v>
      </c>
      <c r="L20">
        <f>YEAR(Patient[[#This Row],[registration_date]])</f>
        <v>2023</v>
      </c>
    </row>
    <row r="21" spans="1:12" x14ac:dyDescent="0.25">
      <c r="A21" t="s">
        <v>506</v>
      </c>
      <c r="B21" t="s">
        <v>496</v>
      </c>
      <c r="C21" t="s">
        <v>507</v>
      </c>
      <c r="D21" t="s">
        <v>428</v>
      </c>
      <c r="E21" s="1">
        <v>37778</v>
      </c>
      <c r="F21">
        <v>8158989953</v>
      </c>
      <c r="G21" t="s">
        <v>429</v>
      </c>
      <c r="H21" s="1">
        <v>44654</v>
      </c>
      <c r="I21" t="s">
        <v>455</v>
      </c>
      <c r="J21" t="s">
        <v>508</v>
      </c>
      <c r="K21" t="s">
        <v>509</v>
      </c>
      <c r="L21">
        <f>YEAR(Patient[[#This Row],[registration_date]])</f>
        <v>2022</v>
      </c>
    </row>
    <row r="22" spans="1:12" x14ac:dyDescent="0.25">
      <c r="A22" t="s">
        <v>510</v>
      </c>
      <c r="B22" t="s">
        <v>447</v>
      </c>
      <c r="C22" t="s">
        <v>454</v>
      </c>
      <c r="D22" t="s">
        <v>443</v>
      </c>
      <c r="E22" s="1">
        <v>37316</v>
      </c>
      <c r="F22">
        <v>7765390555</v>
      </c>
      <c r="G22" t="s">
        <v>436</v>
      </c>
      <c r="H22" s="1">
        <v>44580</v>
      </c>
      <c r="I22" t="s">
        <v>430</v>
      </c>
      <c r="J22" t="s">
        <v>511</v>
      </c>
      <c r="K22" t="s">
        <v>512</v>
      </c>
      <c r="L22">
        <f>YEAR(Patient[[#This Row],[registration_date]])</f>
        <v>2022</v>
      </c>
    </row>
    <row r="23" spans="1:12" x14ac:dyDescent="0.25">
      <c r="A23" t="s">
        <v>513</v>
      </c>
      <c r="B23" t="s">
        <v>514</v>
      </c>
      <c r="C23" t="s">
        <v>515</v>
      </c>
      <c r="D23" t="s">
        <v>443</v>
      </c>
      <c r="E23" s="1">
        <v>20219</v>
      </c>
      <c r="F23">
        <v>6221099573</v>
      </c>
      <c r="G23" t="s">
        <v>436</v>
      </c>
      <c r="H23" s="1">
        <v>44327</v>
      </c>
      <c r="I23" t="s">
        <v>455</v>
      </c>
      <c r="J23" t="s">
        <v>516</v>
      </c>
      <c r="K23" t="s">
        <v>517</v>
      </c>
      <c r="L23">
        <f>YEAR(Patient[[#This Row],[registration_date]])</f>
        <v>2021</v>
      </c>
    </row>
    <row r="24" spans="1:12" x14ac:dyDescent="0.25">
      <c r="A24" t="s">
        <v>518</v>
      </c>
      <c r="B24" t="s">
        <v>459</v>
      </c>
      <c r="C24" t="s">
        <v>448</v>
      </c>
      <c r="D24" t="s">
        <v>443</v>
      </c>
      <c r="E24" s="1">
        <v>34387</v>
      </c>
      <c r="F24">
        <v>6141951830</v>
      </c>
      <c r="G24" t="s">
        <v>429</v>
      </c>
      <c r="H24" s="1">
        <v>44557</v>
      </c>
      <c r="I24" t="s">
        <v>430</v>
      </c>
      <c r="J24" t="s">
        <v>519</v>
      </c>
      <c r="K24" t="s">
        <v>520</v>
      </c>
      <c r="L24">
        <f>YEAR(Patient[[#This Row],[registration_date]])</f>
        <v>2021</v>
      </c>
    </row>
    <row r="25" spans="1:12" x14ac:dyDescent="0.25">
      <c r="A25" t="s">
        <v>521</v>
      </c>
      <c r="B25" t="s">
        <v>490</v>
      </c>
      <c r="C25" t="s">
        <v>515</v>
      </c>
      <c r="D25" t="s">
        <v>428</v>
      </c>
      <c r="E25" s="1">
        <v>33546</v>
      </c>
      <c r="F25">
        <v>7196777444</v>
      </c>
      <c r="G25" t="s">
        <v>436</v>
      </c>
      <c r="H25" s="1">
        <v>44441</v>
      </c>
      <c r="I25" t="s">
        <v>430</v>
      </c>
      <c r="J25" t="s">
        <v>522</v>
      </c>
      <c r="K25" t="s">
        <v>523</v>
      </c>
      <c r="L25">
        <f>YEAR(Patient[[#This Row],[registration_date]])</f>
        <v>2021</v>
      </c>
    </row>
    <row r="26" spans="1:12" x14ac:dyDescent="0.25">
      <c r="A26" t="s">
        <v>524</v>
      </c>
      <c r="B26" t="s">
        <v>525</v>
      </c>
      <c r="C26" t="s">
        <v>454</v>
      </c>
      <c r="D26" t="s">
        <v>443</v>
      </c>
      <c r="E26" s="1">
        <v>24333</v>
      </c>
      <c r="F26">
        <v>7482069727</v>
      </c>
      <c r="G26" t="s">
        <v>449</v>
      </c>
      <c r="H26" s="1">
        <v>44448</v>
      </c>
      <c r="I26" t="s">
        <v>450</v>
      </c>
      <c r="J26" t="s">
        <v>526</v>
      </c>
      <c r="K26" t="s">
        <v>527</v>
      </c>
      <c r="L26">
        <f>YEAR(Patient[[#This Row],[registration_date]])</f>
        <v>2021</v>
      </c>
    </row>
    <row r="27" spans="1:12" x14ac:dyDescent="0.25">
      <c r="A27" t="s">
        <v>528</v>
      </c>
      <c r="B27" t="s">
        <v>514</v>
      </c>
      <c r="C27" t="s">
        <v>475</v>
      </c>
      <c r="D27" t="s">
        <v>443</v>
      </c>
      <c r="E27" s="1">
        <v>37953</v>
      </c>
      <c r="F27">
        <v>9900972256</v>
      </c>
      <c r="G27" t="s">
        <v>449</v>
      </c>
      <c r="H27" s="1">
        <v>44329</v>
      </c>
      <c r="I27" t="s">
        <v>455</v>
      </c>
      <c r="J27" t="s">
        <v>529</v>
      </c>
      <c r="K27" t="s">
        <v>530</v>
      </c>
      <c r="L27">
        <f>YEAR(Patient[[#This Row],[registration_date]])</f>
        <v>2021</v>
      </c>
    </row>
    <row r="28" spans="1:12" x14ac:dyDescent="0.25">
      <c r="A28" t="s">
        <v>531</v>
      </c>
      <c r="B28" t="s">
        <v>459</v>
      </c>
      <c r="C28" t="s">
        <v>507</v>
      </c>
      <c r="D28" t="s">
        <v>428</v>
      </c>
      <c r="E28" s="1">
        <v>35975</v>
      </c>
      <c r="F28">
        <v>8724518272</v>
      </c>
      <c r="G28" t="s">
        <v>436</v>
      </c>
      <c r="H28" s="1">
        <v>44423</v>
      </c>
      <c r="I28" t="s">
        <v>450</v>
      </c>
      <c r="J28" t="s">
        <v>532</v>
      </c>
      <c r="K28" t="s">
        <v>533</v>
      </c>
      <c r="L28">
        <f>YEAR(Patient[[#This Row],[registration_date]])</f>
        <v>2021</v>
      </c>
    </row>
    <row r="29" spans="1:12" x14ac:dyDescent="0.25">
      <c r="A29" t="s">
        <v>534</v>
      </c>
      <c r="B29" t="s">
        <v>463</v>
      </c>
      <c r="C29" t="s">
        <v>507</v>
      </c>
      <c r="D29" t="s">
        <v>443</v>
      </c>
      <c r="E29" s="1">
        <v>34072</v>
      </c>
      <c r="F29">
        <v>7028910482</v>
      </c>
      <c r="G29" t="s">
        <v>436</v>
      </c>
      <c r="H29" s="1">
        <v>45066</v>
      </c>
      <c r="I29" t="s">
        <v>455</v>
      </c>
      <c r="J29" t="s">
        <v>535</v>
      </c>
      <c r="K29" t="s">
        <v>536</v>
      </c>
      <c r="L29">
        <f>YEAR(Patient[[#This Row],[registration_date]])</f>
        <v>2023</v>
      </c>
    </row>
    <row r="30" spans="1:12" x14ac:dyDescent="0.25">
      <c r="A30" t="s">
        <v>537</v>
      </c>
      <c r="B30" t="s">
        <v>426</v>
      </c>
      <c r="C30" t="s">
        <v>435</v>
      </c>
      <c r="D30" t="s">
        <v>443</v>
      </c>
      <c r="E30" s="1">
        <v>38487</v>
      </c>
      <c r="F30">
        <v>8923607677</v>
      </c>
      <c r="G30" t="s">
        <v>429</v>
      </c>
      <c r="H30" s="1">
        <v>45035</v>
      </c>
      <c r="I30" t="s">
        <v>450</v>
      </c>
      <c r="J30" t="s">
        <v>538</v>
      </c>
      <c r="K30" t="s">
        <v>539</v>
      </c>
      <c r="L30">
        <f>YEAR(Patient[[#This Row],[registration_date]])</f>
        <v>2023</v>
      </c>
    </row>
    <row r="31" spans="1:12" x14ac:dyDescent="0.25">
      <c r="A31" t="s">
        <v>540</v>
      </c>
      <c r="B31" t="s">
        <v>434</v>
      </c>
      <c r="C31" t="s">
        <v>507</v>
      </c>
      <c r="D31" t="s">
        <v>443</v>
      </c>
      <c r="E31" s="1">
        <v>23734</v>
      </c>
      <c r="F31">
        <v>6622318721</v>
      </c>
      <c r="G31" t="s">
        <v>468</v>
      </c>
      <c r="H31" s="1">
        <v>44415</v>
      </c>
      <c r="I31" t="s">
        <v>437</v>
      </c>
      <c r="J31" t="s">
        <v>541</v>
      </c>
      <c r="K31" t="s">
        <v>542</v>
      </c>
      <c r="L31">
        <f>YEAR(Patient[[#This Row],[registration_date]])</f>
        <v>2021</v>
      </c>
    </row>
    <row r="32" spans="1:12" x14ac:dyDescent="0.25">
      <c r="A32" t="s">
        <v>543</v>
      </c>
      <c r="B32" t="s">
        <v>525</v>
      </c>
      <c r="C32" t="s">
        <v>503</v>
      </c>
      <c r="D32" t="s">
        <v>443</v>
      </c>
      <c r="E32" s="1">
        <v>31791</v>
      </c>
      <c r="F32">
        <v>8280346676</v>
      </c>
      <c r="G32" t="s">
        <v>436</v>
      </c>
      <c r="H32" s="1">
        <v>44740</v>
      </c>
      <c r="I32" t="s">
        <v>430</v>
      </c>
      <c r="J32" t="s">
        <v>544</v>
      </c>
      <c r="K32" t="s">
        <v>545</v>
      </c>
      <c r="L32">
        <f>YEAR(Patient[[#This Row],[registration_date]])</f>
        <v>2022</v>
      </c>
    </row>
    <row r="33" spans="1:12" x14ac:dyDescent="0.25">
      <c r="A33" t="s">
        <v>546</v>
      </c>
      <c r="B33" t="s">
        <v>463</v>
      </c>
      <c r="C33" t="s">
        <v>507</v>
      </c>
      <c r="D33" t="s">
        <v>443</v>
      </c>
      <c r="E33" s="1">
        <v>29594</v>
      </c>
      <c r="F33">
        <v>8102183595</v>
      </c>
      <c r="G33" t="s">
        <v>449</v>
      </c>
      <c r="H33" s="1">
        <v>44471</v>
      </c>
      <c r="I33" t="s">
        <v>455</v>
      </c>
      <c r="J33" t="s">
        <v>547</v>
      </c>
      <c r="K33" t="s">
        <v>536</v>
      </c>
      <c r="L33">
        <f>YEAR(Patient[[#This Row],[registration_date]])</f>
        <v>2021</v>
      </c>
    </row>
    <row r="34" spans="1:12" x14ac:dyDescent="0.25">
      <c r="A34" t="s">
        <v>548</v>
      </c>
      <c r="B34" t="s">
        <v>447</v>
      </c>
      <c r="C34" t="s">
        <v>454</v>
      </c>
      <c r="D34" t="s">
        <v>428</v>
      </c>
      <c r="E34" s="1">
        <v>25605</v>
      </c>
      <c r="F34">
        <v>7923214041</v>
      </c>
      <c r="G34" t="s">
        <v>429</v>
      </c>
      <c r="H34" s="1">
        <v>45175</v>
      </c>
      <c r="I34" t="s">
        <v>455</v>
      </c>
      <c r="J34" t="s">
        <v>549</v>
      </c>
      <c r="K34" t="s">
        <v>512</v>
      </c>
      <c r="L34">
        <f>YEAR(Patient[[#This Row],[registration_date]])</f>
        <v>2023</v>
      </c>
    </row>
    <row r="35" spans="1:12" x14ac:dyDescent="0.25">
      <c r="A35" t="s">
        <v>550</v>
      </c>
      <c r="B35" t="s">
        <v>463</v>
      </c>
      <c r="C35" t="s">
        <v>435</v>
      </c>
      <c r="D35" t="s">
        <v>428</v>
      </c>
      <c r="E35" s="1">
        <v>18289</v>
      </c>
      <c r="F35">
        <v>8374657733</v>
      </c>
      <c r="G35" t="s">
        <v>436</v>
      </c>
      <c r="H35" s="1">
        <v>45095</v>
      </c>
      <c r="I35" t="s">
        <v>430</v>
      </c>
      <c r="J35" t="s">
        <v>551</v>
      </c>
      <c r="K35" t="s">
        <v>552</v>
      </c>
      <c r="L35">
        <f>YEAR(Patient[[#This Row],[registration_date]])</f>
        <v>2023</v>
      </c>
    </row>
    <row r="36" spans="1:12" x14ac:dyDescent="0.25">
      <c r="A36" t="s">
        <v>553</v>
      </c>
      <c r="B36" t="s">
        <v>426</v>
      </c>
      <c r="C36" t="s">
        <v>454</v>
      </c>
      <c r="D36" t="s">
        <v>428</v>
      </c>
      <c r="E36" s="1">
        <v>34072</v>
      </c>
      <c r="F36">
        <v>7039619487</v>
      </c>
      <c r="G36" t="s">
        <v>449</v>
      </c>
      <c r="H36" s="1">
        <v>45116</v>
      </c>
      <c r="I36" t="s">
        <v>455</v>
      </c>
      <c r="J36" t="s">
        <v>554</v>
      </c>
      <c r="K36" t="s">
        <v>457</v>
      </c>
      <c r="L36">
        <f>YEAR(Patient[[#This Row],[registration_date]])</f>
        <v>2023</v>
      </c>
    </row>
    <row r="37" spans="1:12" x14ac:dyDescent="0.25">
      <c r="A37" t="s">
        <v>555</v>
      </c>
      <c r="B37" t="s">
        <v>447</v>
      </c>
      <c r="C37" t="s">
        <v>454</v>
      </c>
      <c r="D37" t="s">
        <v>443</v>
      </c>
      <c r="E37" s="1">
        <v>35790</v>
      </c>
      <c r="F37">
        <v>8545613046</v>
      </c>
      <c r="G37" t="s">
        <v>449</v>
      </c>
      <c r="H37" s="1">
        <v>44838</v>
      </c>
      <c r="I37" t="s">
        <v>455</v>
      </c>
      <c r="J37" t="s">
        <v>556</v>
      </c>
      <c r="K37" t="s">
        <v>512</v>
      </c>
      <c r="L37">
        <f>YEAR(Patient[[#This Row],[registration_date]])</f>
        <v>2022</v>
      </c>
    </row>
    <row r="38" spans="1:12" x14ac:dyDescent="0.25">
      <c r="A38" t="s">
        <v>557</v>
      </c>
      <c r="B38" t="s">
        <v>525</v>
      </c>
      <c r="C38" t="s">
        <v>427</v>
      </c>
      <c r="D38" t="s">
        <v>443</v>
      </c>
      <c r="E38" s="1">
        <v>36196</v>
      </c>
      <c r="F38">
        <v>8886800195</v>
      </c>
      <c r="G38" t="s">
        <v>468</v>
      </c>
      <c r="H38" s="1">
        <v>44469</v>
      </c>
      <c r="I38" t="s">
        <v>450</v>
      </c>
      <c r="J38" t="s">
        <v>558</v>
      </c>
      <c r="K38" t="s">
        <v>559</v>
      </c>
      <c r="L38">
        <f>YEAR(Patient[[#This Row],[registration_date]])</f>
        <v>2021</v>
      </c>
    </row>
    <row r="39" spans="1:12" x14ac:dyDescent="0.25">
      <c r="A39" t="s">
        <v>560</v>
      </c>
      <c r="B39" t="s">
        <v>426</v>
      </c>
      <c r="C39" t="s">
        <v>435</v>
      </c>
      <c r="D39" t="s">
        <v>443</v>
      </c>
      <c r="E39" s="1">
        <v>33414</v>
      </c>
      <c r="F39">
        <v>6347262390</v>
      </c>
      <c r="G39" t="s">
        <v>429</v>
      </c>
      <c r="H39" s="1">
        <v>44305</v>
      </c>
      <c r="I39" t="s">
        <v>455</v>
      </c>
      <c r="J39" t="s">
        <v>561</v>
      </c>
      <c r="K39" t="s">
        <v>539</v>
      </c>
      <c r="L39">
        <f>YEAR(Patient[[#This Row],[registration_date]])</f>
        <v>2021</v>
      </c>
    </row>
    <row r="40" spans="1:12" x14ac:dyDescent="0.25">
      <c r="A40" t="s">
        <v>562</v>
      </c>
      <c r="B40" t="s">
        <v>496</v>
      </c>
      <c r="C40" t="s">
        <v>454</v>
      </c>
      <c r="D40" t="s">
        <v>428</v>
      </c>
      <c r="E40" s="1">
        <v>18609</v>
      </c>
      <c r="F40">
        <v>9271131338</v>
      </c>
      <c r="G40" t="s">
        <v>429</v>
      </c>
      <c r="H40" s="1">
        <v>44264</v>
      </c>
      <c r="I40" t="s">
        <v>437</v>
      </c>
      <c r="J40" t="s">
        <v>563</v>
      </c>
      <c r="K40" t="s">
        <v>564</v>
      </c>
      <c r="L40">
        <f>YEAR(Patient[[#This Row],[registration_date]])</f>
        <v>2021</v>
      </c>
    </row>
    <row r="41" spans="1:12" x14ac:dyDescent="0.25">
      <c r="A41" t="s">
        <v>565</v>
      </c>
      <c r="B41" t="s">
        <v>434</v>
      </c>
      <c r="C41" t="s">
        <v>427</v>
      </c>
      <c r="D41" t="s">
        <v>443</v>
      </c>
      <c r="E41" s="1">
        <v>26449</v>
      </c>
      <c r="F41">
        <v>7587653815</v>
      </c>
      <c r="G41" t="s">
        <v>468</v>
      </c>
      <c r="H41" s="1">
        <v>44485</v>
      </c>
      <c r="I41" t="s">
        <v>437</v>
      </c>
      <c r="J41" t="s">
        <v>566</v>
      </c>
      <c r="K41" t="s">
        <v>567</v>
      </c>
      <c r="L41">
        <f>YEAR(Patient[[#This Row],[registration_date]])</f>
        <v>2021</v>
      </c>
    </row>
    <row r="42" spans="1:12" x14ac:dyDescent="0.25">
      <c r="A42" t="s">
        <v>568</v>
      </c>
      <c r="B42" t="s">
        <v>525</v>
      </c>
      <c r="C42" t="s">
        <v>427</v>
      </c>
      <c r="D42" t="s">
        <v>443</v>
      </c>
      <c r="E42" s="1">
        <v>18798</v>
      </c>
      <c r="F42">
        <v>7020645498</v>
      </c>
      <c r="G42" t="s">
        <v>468</v>
      </c>
      <c r="H42" s="1">
        <v>44758</v>
      </c>
      <c r="I42" t="s">
        <v>430</v>
      </c>
      <c r="J42" t="s">
        <v>569</v>
      </c>
      <c r="K42" t="s">
        <v>559</v>
      </c>
      <c r="L42">
        <f>YEAR(Patient[[#This Row],[registration_date]])</f>
        <v>2022</v>
      </c>
    </row>
    <row r="43" spans="1:12" x14ac:dyDescent="0.25">
      <c r="A43" t="s">
        <v>570</v>
      </c>
      <c r="B43" t="s">
        <v>496</v>
      </c>
      <c r="C43" t="s">
        <v>435</v>
      </c>
      <c r="D43" t="s">
        <v>428</v>
      </c>
      <c r="E43" s="1">
        <v>19958</v>
      </c>
      <c r="F43">
        <v>7040069008</v>
      </c>
      <c r="G43" t="s">
        <v>429</v>
      </c>
      <c r="H43" s="1">
        <v>44635</v>
      </c>
      <c r="I43" t="s">
        <v>455</v>
      </c>
      <c r="J43" t="s">
        <v>571</v>
      </c>
      <c r="K43" t="s">
        <v>572</v>
      </c>
      <c r="L43">
        <f>YEAR(Patient[[#This Row],[registration_date]])</f>
        <v>2022</v>
      </c>
    </row>
    <row r="44" spans="1:12" x14ac:dyDescent="0.25">
      <c r="A44" t="s">
        <v>573</v>
      </c>
      <c r="B44" t="s">
        <v>459</v>
      </c>
      <c r="C44" t="s">
        <v>515</v>
      </c>
      <c r="D44" t="s">
        <v>443</v>
      </c>
      <c r="E44" s="1">
        <v>29305</v>
      </c>
      <c r="F44">
        <v>9127665406</v>
      </c>
      <c r="G44" t="s">
        <v>429</v>
      </c>
      <c r="H44" s="1">
        <v>44760</v>
      </c>
      <c r="I44" t="s">
        <v>430</v>
      </c>
      <c r="J44" t="s">
        <v>574</v>
      </c>
      <c r="K44" t="s">
        <v>575</v>
      </c>
      <c r="L44">
        <f>YEAR(Patient[[#This Row],[registration_date]])</f>
        <v>2022</v>
      </c>
    </row>
    <row r="45" spans="1:12" x14ac:dyDescent="0.25">
      <c r="A45" t="s">
        <v>576</v>
      </c>
      <c r="B45" t="s">
        <v>525</v>
      </c>
      <c r="C45" t="s">
        <v>475</v>
      </c>
      <c r="D45" t="s">
        <v>428</v>
      </c>
      <c r="E45" s="1">
        <v>27830</v>
      </c>
      <c r="F45">
        <v>9449458981</v>
      </c>
      <c r="G45" t="s">
        <v>436</v>
      </c>
      <c r="H45" s="1">
        <v>44952</v>
      </c>
      <c r="I45" t="s">
        <v>437</v>
      </c>
      <c r="J45" t="s">
        <v>577</v>
      </c>
      <c r="K45" t="s">
        <v>578</v>
      </c>
      <c r="L45">
        <f>YEAR(Patient[[#This Row],[registration_date]])</f>
        <v>2023</v>
      </c>
    </row>
    <row r="46" spans="1:12" x14ac:dyDescent="0.25">
      <c r="A46" t="s">
        <v>579</v>
      </c>
      <c r="B46" t="s">
        <v>459</v>
      </c>
      <c r="C46" t="s">
        <v>503</v>
      </c>
      <c r="D46" t="s">
        <v>428</v>
      </c>
      <c r="E46" s="1">
        <v>24222</v>
      </c>
      <c r="F46">
        <v>7579616535</v>
      </c>
      <c r="G46" t="s">
        <v>436</v>
      </c>
      <c r="H46" s="1">
        <v>44219</v>
      </c>
      <c r="I46" t="s">
        <v>455</v>
      </c>
      <c r="J46" t="s">
        <v>580</v>
      </c>
      <c r="K46" t="s">
        <v>581</v>
      </c>
      <c r="L46">
        <f>YEAR(Patient[[#This Row],[registration_date]])</f>
        <v>2021</v>
      </c>
    </row>
    <row r="47" spans="1:12" x14ac:dyDescent="0.25">
      <c r="A47" t="s">
        <v>582</v>
      </c>
      <c r="B47" t="s">
        <v>447</v>
      </c>
      <c r="C47" t="s">
        <v>475</v>
      </c>
      <c r="D47" t="s">
        <v>428</v>
      </c>
      <c r="E47" s="1">
        <v>31656</v>
      </c>
      <c r="F47">
        <v>8019925828</v>
      </c>
      <c r="G47" t="s">
        <v>468</v>
      </c>
      <c r="H47" s="1">
        <v>44408</v>
      </c>
      <c r="I47" t="s">
        <v>455</v>
      </c>
      <c r="J47" t="s">
        <v>583</v>
      </c>
      <c r="K47" t="s">
        <v>477</v>
      </c>
      <c r="L47">
        <f>YEAR(Patient[[#This Row],[registration_date]])</f>
        <v>2021</v>
      </c>
    </row>
    <row r="48" spans="1:12" x14ac:dyDescent="0.25">
      <c r="A48" t="s">
        <v>584</v>
      </c>
      <c r="B48" t="s">
        <v>496</v>
      </c>
      <c r="C48" t="s">
        <v>507</v>
      </c>
      <c r="D48" t="s">
        <v>443</v>
      </c>
      <c r="E48" s="1">
        <v>35046</v>
      </c>
      <c r="F48">
        <v>8715732851</v>
      </c>
      <c r="G48" t="s">
        <v>436</v>
      </c>
      <c r="H48" s="1">
        <v>44701</v>
      </c>
      <c r="I48" t="s">
        <v>430</v>
      </c>
      <c r="J48" t="s">
        <v>585</v>
      </c>
      <c r="K48" t="s">
        <v>509</v>
      </c>
      <c r="L48">
        <f>YEAR(Patient[[#This Row],[registration_date]])</f>
        <v>2022</v>
      </c>
    </row>
    <row r="49" spans="1:12" x14ac:dyDescent="0.25">
      <c r="A49" t="s">
        <v>586</v>
      </c>
      <c r="B49" t="s">
        <v>434</v>
      </c>
      <c r="C49" t="s">
        <v>503</v>
      </c>
      <c r="D49" t="s">
        <v>443</v>
      </c>
      <c r="E49" s="1">
        <v>30399</v>
      </c>
      <c r="F49">
        <v>8720989381</v>
      </c>
      <c r="G49" t="s">
        <v>449</v>
      </c>
      <c r="H49" s="1">
        <v>45096</v>
      </c>
      <c r="I49" t="s">
        <v>437</v>
      </c>
      <c r="J49" t="s">
        <v>587</v>
      </c>
      <c r="K49" t="s">
        <v>588</v>
      </c>
      <c r="L49">
        <f>YEAR(Patient[[#This Row],[registration_date]])</f>
        <v>2023</v>
      </c>
    </row>
    <row r="50" spans="1:12" x14ac:dyDescent="0.25">
      <c r="A50" t="s">
        <v>589</v>
      </c>
      <c r="B50" t="s">
        <v>426</v>
      </c>
      <c r="C50" t="s">
        <v>507</v>
      </c>
      <c r="D50" t="s">
        <v>443</v>
      </c>
      <c r="E50" s="1">
        <v>26629</v>
      </c>
      <c r="F50">
        <v>7712937941</v>
      </c>
      <c r="G50" t="s">
        <v>436</v>
      </c>
      <c r="H50" s="1">
        <v>45091</v>
      </c>
      <c r="I50" t="s">
        <v>455</v>
      </c>
      <c r="J50" t="s">
        <v>590</v>
      </c>
      <c r="K50" t="s">
        <v>591</v>
      </c>
      <c r="L50">
        <f>YEAR(Patient[[#This Row],[registration_date]])</f>
        <v>2023</v>
      </c>
    </row>
    <row r="51" spans="1:12" x14ac:dyDescent="0.25">
      <c r="A51" t="s">
        <v>592</v>
      </c>
      <c r="B51" t="s">
        <v>441</v>
      </c>
      <c r="C51" t="s">
        <v>454</v>
      </c>
      <c r="D51" t="s">
        <v>443</v>
      </c>
      <c r="E51" s="1">
        <v>34330</v>
      </c>
      <c r="F51">
        <v>8301134730</v>
      </c>
      <c r="G51" t="s">
        <v>436</v>
      </c>
      <c r="H51" s="1">
        <v>45044</v>
      </c>
      <c r="I51" t="s">
        <v>430</v>
      </c>
      <c r="J51" t="s">
        <v>593</v>
      </c>
      <c r="K51" t="s">
        <v>501</v>
      </c>
      <c r="L51">
        <f>YEAR(Patient[[#This Row],[registration_date]])</f>
        <v>2023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zoomScaleNormal="100" workbookViewId="0">
      <selection activeCell="J3" sqref="J3"/>
    </sheetView>
  </sheetViews>
  <sheetFormatPr defaultRowHeight="15" x14ac:dyDescent="0.25"/>
  <cols>
    <col min="1" max="1" width="17.42578125" customWidth="1"/>
    <col min="2" max="2" width="12.28515625" customWidth="1"/>
    <col min="3" max="3" width="11.5703125" customWidth="1"/>
    <col min="4" max="4" width="15.28515625" customWidth="1"/>
    <col min="5" max="5" width="19.7109375" customWidth="1"/>
    <col min="6" max="6" width="19.85546875" style="20" customWidth="1"/>
    <col min="7" max="7" width="17.42578125" customWidth="1"/>
    <col min="8" max="8" width="10.85546875" bestFit="1" customWidth="1"/>
    <col min="9" max="9" width="15.42578125" bestFit="1" customWidth="1"/>
  </cols>
  <sheetData>
    <row r="1" spans="1:10" x14ac:dyDescent="0.25">
      <c r="A1" t="s">
        <v>1</v>
      </c>
      <c r="B1" t="s">
        <v>414</v>
      </c>
      <c r="C1" t="s">
        <v>594</v>
      </c>
      <c r="D1" t="s">
        <v>849</v>
      </c>
      <c r="E1" t="s">
        <v>625</v>
      </c>
      <c r="F1" s="20" t="s">
        <v>626</v>
      </c>
      <c r="G1" t="s">
        <v>627</v>
      </c>
      <c r="H1" t="s">
        <v>628</v>
      </c>
      <c r="I1" t="s">
        <v>869</v>
      </c>
      <c r="J1" t="s">
        <v>895</v>
      </c>
    </row>
    <row r="2" spans="1:10" x14ac:dyDescent="0.25">
      <c r="A2" t="s">
        <v>7</v>
      </c>
      <c r="B2" t="s">
        <v>550</v>
      </c>
      <c r="C2" t="s">
        <v>621</v>
      </c>
      <c r="D2" t="s">
        <v>850</v>
      </c>
      <c r="E2" s="1">
        <v>45147</v>
      </c>
      <c r="F2" s="20">
        <v>0.63541666666666663</v>
      </c>
      <c r="G2" t="s">
        <v>629</v>
      </c>
      <c r="H2" t="s">
        <v>630</v>
      </c>
      <c r="I2" t="str">
        <f t="shared" ref="I2:I33" si="0">TEXT(E:E,"mmmm")</f>
        <v>August</v>
      </c>
      <c r="J2">
        <f>HOUR(Appointment[[#This Row],[appointment_time]])</f>
        <v>15</v>
      </c>
    </row>
    <row r="3" spans="1:10" x14ac:dyDescent="0.25">
      <c r="A3" t="s">
        <v>11</v>
      </c>
      <c r="B3" t="s">
        <v>546</v>
      </c>
      <c r="C3" t="s">
        <v>609</v>
      </c>
      <c r="D3" t="s">
        <v>851</v>
      </c>
      <c r="E3" s="1">
        <v>45086</v>
      </c>
      <c r="F3" s="20">
        <v>0.60416666666666663</v>
      </c>
      <c r="G3" t="s">
        <v>629</v>
      </c>
      <c r="H3" t="s">
        <v>631</v>
      </c>
      <c r="I3" t="str">
        <f t="shared" si="0"/>
        <v>June</v>
      </c>
      <c r="J3">
        <f>HOUR(Appointment[[#This Row],[appointment_time]])</f>
        <v>14</v>
      </c>
    </row>
    <row r="4" spans="1:10" x14ac:dyDescent="0.25">
      <c r="A4" t="s">
        <v>15</v>
      </c>
      <c r="B4" t="s">
        <v>586</v>
      </c>
      <c r="C4" t="s">
        <v>609</v>
      </c>
      <c r="D4" t="s">
        <v>851</v>
      </c>
      <c r="E4" s="1">
        <v>45105</v>
      </c>
      <c r="F4" s="20">
        <v>0.33333333333333331</v>
      </c>
      <c r="G4" t="s">
        <v>632</v>
      </c>
      <c r="H4" t="s">
        <v>633</v>
      </c>
      <c r="I4" t="str">
        <f t="shared" si="0"/>
        <v>June</v>
      </c>
      <c r="J4">
        <f>HOUR(Appointment[[#This Row],[appointment_time]])</f>
        <v>8</v>
      </c>
    </row>
    <row r="5" spans="1:10" x14ac:dyDescent="0.25">
      <c r="A5" t="s">
        <v>18</v>
      </c>
      <c r="B5" t="s">
        <v>524</v>
      </c>
      <c r="C5" t="s">
        <v>614</v>
      </c>
      <c r="D5" t="s">
        <v>852</v>
      </c>
      <c r="E5" s="1">
        <v>45170</v>
      </c>
      <c r="F5" s="20">
        <v>0.38541666666666669</v>
      </c>
      <c r="G5" t="s">
        <v>632</v>
      </c>
      <c r="H5" t="s">
        <v>633</v>
      </c>
      <c r="I5" t="str">
        <f t="shared" si="0"/>
        <v>September</v>
      </c>
      <c r="J5">
        <f>HOUR(Appointment[[#This Row],[appointment_time]])</f>
        <v>9</v>
      </c>
    </row>
    <row r="6" spans="1:10" x14ac:dyDescent="0.25">
      <c r="A6" t="s">
        <v>20</v>
      </c>
      <c r="B6" t="s">
        <v>565</v>
      </c>
      <c r="C6" t="s">
        <v>607</v>
      </c>
      <c r="D6" t="s">
        <v>853</v>
      </c>
      <c r="E6" s="1">
        <v>45113</v>
      </c>
      <c r="F6" s="20">
        <v>0.53125</v>
      </c>
      <c r="G6" t="s">
        <v>634</v>
      </c>
      <c r="H6" t="s">
        <v>631</v>
      </c>
      <c r="I6" t="str">
        <f t="shared" si="0"/>
        <v>July</v>
      </c>
      <c r="J6">
        <f>HOUR(Appointment[[#This Row],[appointment_time]])</f>
        <v>12</v>
      </c>
    </row>
    <row r="7" spans="1:10" x14ac:dyDescent="0.25">
      <c r="A7" t="s">
        <v>23</v>
      </c>
      <c r="B7" t="s">
        <v>579</v>
      </c>
      <c r="C7" t="s">
        <v>614</v>
      </c>
      <c r="D7" t="s">
        <v>852</v>
      </c>
      <c r="E7" s="1">
        <v>45096</v>
      </c>
      <c r="F7" s="20">
        <v>0.67708333333333337</v>
      </c>
      <c r="G7" t="s">
        <v>635</v>
      </c>
      <c r="H7" t="s">
        <v>630</v>
      </c>
      <c r="I7" t="str">
        <f t="shared" si="0"/>
        <v>June</v>
      </c>
      <c r="J7">
        <f>HOUR(Appointment[[#This Row],[appointment_time]])</f>
        <v>16</v>
      </c>
    </row>
    <row r="8" spans="1:10" x14ac:dyDescent="0.25">
      <c r="A8" t="s">
        <v>25</v>
      </c>
      <c r="B8" t="s">
        <v>425</v>
      </c>
      <c r="C8" t="s">
        <v>616</v>
      </c>
      <c r="D8" t="s">
        <v>854</v>
      </c>
      <c r="E8" s="1">
        <v>45025</v>
      </c>
      <c r="F8" s="20">
        <v>0.4375</v>
      </c>
      <c r="G8" t="s">
        <v>632</v>
      </c>
      <c r="H8" t="s">
        <v>630</v>
      </c>
      <c r="I8" t="str">
        <f t="shared" si="0"/>
        <v>April</v>
      </c>
      <c r="J8">
        <f>HOUR(Appointment[[#This Row],[appointment_time]])</f>
        <v>10</v>
      </c>
    </row>
    <row r="9" spans="1:10" x14ac:dyDescent="0.25">
      <c r="A9" t="s">
        <v>27</v>
      </c>
      <c r="B9" t="s">
        <v>493</v>
      </c>
      <c r="C9" t="s">
        <v>623</v>
      </c>
      <c r="D9" t="s">
        <v>855</v>
      </c>
      <c r="E9" s="1">
        <v>45070</v>
      </c>
      <c r="F9" s="20">
        <v>0.36458333333333331</v>
      </c>
      <c r="G9" t="s">
        <v>632</v>
      </c>
      <c r="H9" t="s">
        <v>633</v>
      </c>
      <c r="I9" t="str">
        <f t="shared" si="0"/>
        <v>May</v>
      </c>
      <c r="J9">
        <f>HOUR(Appointment[[#This Row],[appointment_time]])</f>
        <v>8</v>
      </c>
    </row>
    <row r="10" spans="1:10" x14ac:dyDescent="0.25">
      <c r="A10" t="s">
        <v>30</v>
      </c>
      <c r="B10" t="s">
        <v>562</v>
      </c>
      <c r="C10" t="s">
        <v>623</v>
      </c>
      <c r="D10" t="s">
        <v>855</v>
      </c>
      <c r="E10" s="1">
        <v>44990</v>
      </c>
      <c r="F10" s="20">
        <v>0.57291666666666663</v>
      </c>
      <c r="G10" t="s">
        <v>636</v>
      </c>
      <c r="H10" t="s">
        <v>630</v>
      </c>
      <c r="I10" t="str">
        <f t="shared" si="0"/>
        <v>March</v>
      </c>
      <c r="J10">
        <f>HOUR(Appointment[[#This Row],[appointment_time]])</f>
        <v>13</v>
      </c>
    </row>
    <row r="11" spans="1:10" x14ac:dyDescent="0.25">
      <c r="A11" t="s">
        <v>32</v>
      </c>
      <c r="B11" t="s">
        <v>453</v>
      </c>
      <c r="C11" t="s">
        <v>607</v>
      </c>
      <c r="D11" t="s">
        <v>853</v>
      </c>
      <c r="E11" s="1">
        <v>44939</v>
      </c>
      <c r="F11" s="20">
        <v>0.64583333333333337</v>
      </c>
      <c r="G11" t="s">
        <v>629</v>
      </c>
      <c r="H11" t="s">
        <v>637</v>
      </c>
      <c r="I11" t="str">
        <f t="shared" si="0"/>
        <v>January</v>
      </c>
      <c r="J11">
        <f>HOUR(Appointment[[#This Row],[appointment_time]])</f>
        <v>15</v>
      </c>
    </row>
    <row r="12" spans="1:10" x14ac:dyDescent="0.25">
      <c r="A12" t="s">
        <v>34</v>
      </c>
      <c r="B12" t="s">
        <v>513</v>
      </c>
      <c r="C12" t="s">
        <v>616</v>
      </c>
      <c r="D12" t="s">
        <v>854</v>
      </c>
      <c r="E12" s="1">
        <v>45242</v>
      </c>
      <c r="F12" s="20">
        <v>0.66666666666666663</v>
      </c>
      <c r="G12" t="s">
        <v>635</v>
      </c>
      <c r="H12" t="s">
        <v>631</v>
      </c>
      <c r="I12" t="str">
        <f t="shared" si="0"/>
        <v>November</v>
      </c>
      <c r="J12">
        <f>HOUR(Appointment[[#This Row],[appointment_time]])</f>
        <v>16</v>
      </c>
    </row>
    <row r="13" spans="1:10" x14ac:dyDescent="0.25">
      <c r="A13" t="s">
        <v>36</v>
      </c>
      <c r="B13" t="s">
        <v>537</v>
      </c>
      <c r="C13" t="s">
        <v>607</v>
      </c>
      <c r="D13" t="s">
        <v>853</v>
      </c>
      <c r="E13" s="1">
        <v>45053</v>
      </c>
      <c r="F13" s="20">
        <v>0.41666666666666669</v>
      </c>
      <c r="G13" t="s">
        <v>636</v>
      </c>
      <c r="H13" t="s">
        <v>637</v>
      </c>
      <c r="I13" t="str">
        <f t="shared" si="0"/>
        <v>May</v>
      </c>
      <c r="J13">
        <f>HOUR(Appointment[[#This Row],[appointment_time]])</f>
        <v>10</v>
      </c>
    </row>
    <row r="14" spans="1:10" x14ac:dyDescent="0.25">
      <c r="A14" t="s">
        <v>38</v>
      </c>
      <c r="B14" t="s">
        <v>440</v>
      </c>
      <c r="C14" t="s">
        <v>603</v>
      </c>
      <c r="D14" t="s">
        <v>856</v>
      </c>
      <c r="E14" s="1">
        <v>45154</v>
      </c>
      <c r="F14" s="20">
        <v>0.5</v>
      </c>
      <c r="G14" t="s">
        <v>634</v>
      </c>
      <c r="H14" t="s">
        <v>630</v>
      </c>
      <c r="I14" t="str">
        <f t="shared" si="0"/>
        <v>August</v>
      </c>
      <c r="J14">
        <f>HOUR(Appointment[[#This Row],[appointment_time]])</f>
        <v>12</v>
      </c>
    </row>
    <row r="15" spans="1:10" x14ac:dyDescent="0.25">
      <c r="A15" t="s">
        <v>40</v>
      </c>
      <c r="B15" t="s">
        <v>481</v>
      </c>
      <c r="C15" t="s">
        <v>623</v>
      </c>
      <c r="D15" t="s">
        <v>855</v>
      </c>
      <c r="E15" s="1">
        <v>45071</v>
      </c>
      <c r="F15" s="20">
        <v>0.4375</v>
      </c>
      <c r="G15" t="s">
        <v>634</v>
      </c>
      <c r="H15" t="s">
        <v>633</v>
      </c>
      <c r="I15" t="str">
        <f t="shared" si="0"/>
        <v>May</v>
      </c>
      <c r="J15">
        <f>HOUR(Appointment[[#This Row],[appointment_time]])</f>
        <v>10</v>
      </c>
    </row>
    <row r="16" spans="1:10" x14ac:dyDescent="0.25">
      <c r="A16" t="s">
        <v>42</v>
      </c>
      <c r="B16" t="s">
        <v>528</v>
      </c>
      <c r="C16" t="s">
        <v>609</v>
      </c>
      <c r="D16" t="s">
        <v>851</v>
      </c>
      <c r="E16" s="1">
        <v>44941</v>
      </c>
      <c r="F16" s="20">
        <v>0.71875</v>
      </c>
      <c r="G16" t="s">
        <v>632</v>
      </c>
      <c r="H16" t="s">
        <v>631</v>
      </c>
      <c r="I16" t="str">
        <f t="shared" si="0"/>
        <v>January</v>
      </c>
      <c r="J16">
        <f>HOUR(Appointment[[#This Row],[appointment_time]])</f>
        <v>17</v>
      </c>
    </row>
    <row r="17" spans="1:10" x14ac:dyDescent="0.25">
      <c r="A17" t="s">
        <v>44</v>
      </c>
      <c r="B17" t="s">
        <v>493</v>
      </c>
      <c r="C17" t="s">
        <v>619</v>
      </c>
      <c r="D17" t="s">
        <v>857</v>
      </c>
      <c r="E17" s="1">
        <v>45107</v>
      </c>
      <c r="F17" s="20">
        <v>0.45833333333333331</v>
      </c>
      <c r="G17" t="s">
        <v>632</v>
      </c>
      <c r="H17" t="s">
        <v>630</v>
      </c>
      <c r="I17" t="str">
        <f t="shared" si="0"/>
        <v>June</v>
      </c>
      <c r="J17">
        <f>HOUR(Appointment[[#This Row],[appointment_time]])</f>
        <v>11</v>
      </c>
    </row>
    <row r="18" spans="1:10" x14ac:dyDescent="0.25">
      <c r="A18" t="s">
        <v>46</v>
      </c>
      <c r="B18" t="s">
        <v>557</v>
      </c>
      <c r="C18" t="s">
        <v>621</v>
      </c>
      <c r="D18" t="s">
        <v>850</v>
      </c>
      <c r="E18" s="1">
        <v>45118</v>
      </c>
      <c r="F18" s="20">
        <v>0.70833333333333337</v>
      </c>
      <c r="G18" t="s">
        <v>634</v>
      </c>
      <c r="H18" t="s">
        <v>630</v>
      </c>
      <c r="I18" t="str">
        <f t="shared" si="0"/>
        <v>July</v>
      </c>
      <c r="J18">
        <f>HOUR(Appointment[[#This Row],[appointment_time]])</f>
        <v>17</v>
      </c>
    </row>
    <row r="19" spans="1:10" x14ac:dyDescent="0.25">
      <c r="A19" t="s">
        <v>48</v>
      </c>
      <c r="B19" t="s">
        <v>513</v>
      </c>
      <c r="C19" t="s">
        <v>616</v>
      </c>
      <c r="D19" t="s">
        <v>854</v>
      </c>
      <c r="E19" s="1">
        <v>45244</v>
      </c>
      <c r="F19" s="20">
        <v>0.40625</v>
      </c>
      <c r="G19" t="s">
        <v>632</v>
      </c>
      <c r="H19" t="s">
        <v>633</v>
      </c>
      <c r="I19" t="str">
        <f t="shared" si="0"/>
        <v>November</v>
      </c>
      <c r="J19">
        <f>HOUR(Appointment[[#This Row],[appointment_time]])</f>
        <v>9</v>
      </c>
    </row>
    <row r="20" spans="1:10" x14ac:dyDescent="0.25">
      <c r="A20" t="s">
        <v>50</v>
      </c>
      <c r="B20" t="s">
        <v>537</v>
      </c>
      <c r="C20" t="s">
        <v>599</v>
      </c>
      <c r="D20" t="s">
        <v>858</v>
      </c>
      <c r="E20" s="1">
        <v>44963</v>
      </c>
      <c r="F20" s="20">
        <v>0.64583333333333337</v>
      </c>
      <c r="G20" t="s">
        <v>635</v>
      </c>
      <c r="H20" t="s">
        <v>633</v>
      </c>
      <c r="I20" t="str">
        <f t="shared" si="0"/>
        <v>February</v>
      </c>
      <c r="J20">
        <f>HOUR(Appointment[[#This Row],[appointment_time]])</f>
        <v>15</v>
      </c>
    </row>
    <row r="21" spans="1:10" x14ac:dyDescent="0.25">
      <c r="A21" t="s">
        <v>53</v>
      </c>
      <c r="B21" t="s">
        <v>486</v>
      </c>
      <c r="C21" t="s">
        <v>607</v>
      </c>
      <c r="D21" t="s">
        <v>853</v>
      </c>
      <c r="E21" s="1">
        <v>45265</v>
      </c>
      <c r="F21" s="20">
        <v>0.63541666666666663</v>
      </c>
      <c r="G21" t="s">
        <v>632</v>
      </c>
      <c r="H21" t="s">
        <v>637</v>
      </c>
      <c r="I21" t="str">
        <f t="shared" si="0"/>
        <v>December</v>
      </c>
      <c r="J21">
        <f>HOUR(Appointment[[#This Row],[appointment_time]])</f>
        <v>15</v>
      </c>
    </row>
    <row r="22" spans="1:10" x14ac:dyDescent="0.25">
      <c r="A22" t="s">
        <v>55</v>
      </c>
      <c r="B22" t="s">
        <v>534</v>
      </c>
      <c r="C22" t="s">
        <v>621</v>
      </c>
      <c r="D22" t="s">
        <v>850</v>
      </c>
      <c r="E22" s="1">
        <v>45040</v>
      </c>
      <c r="F22" s="20">
        <v>0.41666666666666669</v>
      </c>
      <c r="G22" t="s">
        <v>629</v>
      </c>
      <c r="H22" t="s">
        <v>631</v>
      </c>
      <c r="I22" t="str">
        <f t="shared" si="0"/>
        <v>April</v>
      </c>
      <c r="J22">
        <f>HOUR(Appointment[[#This Row],[appointment_time]])</f>
        <v>10</v>
      </c>
    </row>
    <row r="23" spans="1:10" x14ac:dyDescent="0.25">
      <c r="A23" t="s">
        <v>57</v>
      </c>
      <c r="B23" t="s">
        <v>453</v>
      </c>
      <c r="C23" t="s">
        <v>599</v>
      </c>
      <c r="D23" t="s">
        <v>858</v>
      </c>
      <c r="E23" s="1">
        <v>45244</v>
      </c>
      <c r="F23" s="20">
        <v>0.54166666666666663</v>
      </c>
      <c r="G23" t="s">
        <v>632</v>
      </c>
      <c r="H23" t="s">
        <v>631</v>
      </c>
      <c r="I23" t="str">
        <f t="shared" si="0"/>
        <v>November</v>
      </c>
      <c r="J23">
        <f>HOUR(Appointment[[#This Row],[appointment_time]])</f>
        <v>13</v>
      </c>
    </row>
    <row r="24" spans="1:10" x14ac:dyDescent="0.25">
      <c r="A24" t="s">
        <v>59</v>
      </c>
      <c r="B24" t="s">
        <v>584</v>
      </c>
      <c r="C24" t="s">
        <v>621</v>
      </c>
      <c r="D24" t="s">
        <v>850</v>
      </c>
      <c r="E24" s="1">
        <v>45055</v>
      </c>
      <c r="F24" s="20">
        <v>0.60416666666666663</v>
      </c>
      <c r="G24" t="s">
        <v>636</v>
      </c>
      <c r="H24" t="s">
        <v>633</v>
      </c>
      <c r="I24" t="str">
        <f t="shared" si="0"/>
        <v>May</v>
      </c>
      <c r="J24">
        <f>HOUR(Appointment[[#This Row],[appointment_time]])</f>
        <v>14</v>
      </c>
    </row>
    <row r="25" spans="1:10" x14ac:dyDescent="0.25">
      <c r="A25" t="s">
        <v>61</v>
      </c>
      <c r="B25" t="s">
        <v>589</v>
      </c>
      <c r="C25" t="s">
        <v>619</v>
      </c>
      <c r="D25" t="s">
        <v>857</v>
      </c>
      <c r="E25" s="1">
        <v>45098</v>
      </c>
      <c r="F25" s="20">
        <v>0.33333333333333331</v>
      </c>
      <c r="G25" t="s">
        <v>635</v>
      </c>
      <c r="H25" t="s">
        <v>637</v>
      </c>
      <c r="I25" t="str">
        <f t="shared" si="0"/>
        <v>June</v>
      </c>
      <c r="J25">
        <f>HOUR(Appointment[[#This Row],[appointment_time]])</f>
        <v>8</v>
      </c>
    </row>
    <row r="26" spans="1:10" x14ac:dyDescent="0.25">
      <c r="A26" t="s">
        <v>63</v>
      </c>
      <c r="B26" t="s">
        <v>540</v>
      </c>
      <c r="C26" t="s">
        <v>599</v>
      </c>
      <c r="D26" t="s">
        <v>858</v>
      </c>
      <c r="E26" s="1">
        <v>44982</v>
      </c>
      <c r="F26" s="20">
        <v>0.33333333333333331</v>
      </c>
      <c r="G26" t="s">
        <v>636</v>
      </c>
      <c r="H26" t="s">
        <v>631</v>
      </c>
      <c r="I26" t="str">
        <f t="shared" si="0"/>
        <v>February</v>
      </c>
      <c r="J26">
        <f>HOUR(Appointment[[#This Row],[appointment_time]])</f>
        <v>8</v>
      </c>
    </row>
    <row r="27" spans="1:10" x14ac:dyDescent="0.25">
      <c r="A27" t="s">
        <v>65</v>
      </c>
      <c r="B27" t="s">
        <v>582</v>
      </c>
      <c r="C27" t="s">
        <v>614</v>
      </c>
      <c r="D27" t="s">
        <v>852</v>
      </c>
      <c r="E27" s="1">
        <v>45002</v>
      </c>
      <c r="F27" s="20">
        <v>0.59375</v>
      </c>
      <c r="G27" t="s">
        <v>636</v>
      </c>
      <c r="H27" t="s">
        <v>633</v>
      </c>
      <c r="I27" t="str">
        <f t="shared" si="0"/>
        <v>March</v>
      </c>
      <c r="J27">
        <f>HOUR(Appointment[[#This Row],[appointment_time]])</f>
        <v>14</v>
      </c>
    </row>
    <row r="28" spans="1:10" x14ac:dyDescent="0.25">
      <c r="A28" t="s">
        <v>67</v>
      </c>
      <c r="B28" t="s">
        <v>453</v>
      </c>
      <c r="C28" t="s">
        <v>612</v>
      </c>
      <c r="D28" t="s">
        <v>859</v>
      </c>
      <c r="E28" s="1">
        <v>45244</v>
      </c>
      <c r="F28" s="20">
        <v>0.53125</v>
      </c>
      <c r="G28" t="s">
        <v>629</v>
      </c>
      <c r="H28" t="s">
        <v>630</v>
      </c>
      <c r="I28" t="str">
        <f t="shared" si="0"/>
        <v>November</v>
      </c>
      <c r="J28">
        <f>HOUR(Appointment[[#This Row],[appointment_time]])</f>
        <v>12</v>
      </c>
    </row>
    <row r="29" spans="1:10" x14ac:dyDescent="0.25">
      <c r="A29" t="s">
        <v>69</v>
      </c>
      <c r="B29" t="s">
        <v>481</v>
      </c>
      <c r="C29" t="s">
        <v>614</v>
      </c>
      <c r="D29" t="s">
        <v>852</v>
      </c>
      <c r="E29" s="1">
        <v>45228</v>
      </c>
      <c r="F29" s="20">
        <v>0.64583333333333337</v>
      </c>
      <c r="G29" t="s">
        <v>635</v>
      </c>
      <c r="H29" t="s">
        <v>631</v>
      </c>
      <c r="I29" t="str">
        <f t="shared" si="0"/>
        <v>October</v>
      </c>
      <c r="J29">
        <f>HOUR(Appointment[[#This Row],[appointment_time]])</f>
        <v>15</v>
      </c>
    </row>
    <row r="30" spans="1:10" x14ac:dyDescent="0.25">
      <c r="A30" t="s">
        <v>71</v>
      </c>
      <c r="B30" t="s">
        <v>493</v>
      </c>
      <c r="C30" t="s">
        <v>623</v>
      </c>
      <c r="D30" t="s">
        <v>855</v>
      </c>
      <c r="E30" s="1">
        <v>45102</v>
      </c>
      <c r="F30" s="20">
        <v>0.60416666666666663</v>
      </c>
      <c r="G30" t="s">
        <v>635</v>
      </c>
      <c r="H30" t="s">
        <v>637</v>
      </c>
      <c r="I30" t="str">
        <f t="shared" si="0"/>
        <v>June</v>
      </c>
      <c r="J30">
        <f>HOUR(Appointment[[#This Row],[appointment_time]])</f>
        <v>14</v>
      </c>
    </row>
    <row r="31" spans="1:10" x14ac:dyDescent="0.25">
      <c r="A31" t="s">
        <v>73</v>
      </c>
      <c r="B31" t="s">
        <v>528</v>
      </c>
      <c r="C31" t="s">
        <v>612</v>
      </c>
      <c r="D31" t="s">
        <v>859</v>
      </c>
      <c r="E31" s="1">
        <v>45167</v>
      </c>
      <c r="F31" s="20">
        <v>0.55208333333333337</v>
      </c>
      <c r="G31" t="s">
        <v>635</v>
      </c>
      <c r="H31" t="s">
        <v>637</v>
      </c>
      <c r="I31" t="str">
        <f t="shared" si="0"/>
        <v>August</v>
      </c>
      <c r="J31">
        <f>HOUR(Appointment[[#This Row],[appointment_time]])</f>
        <v>13</v>
      </c>
    </row>
    <row r="32" spans="1:10" x14ac:dyDescent="0.25">
      <c r="A32" t="s">
        <v>75</v>
      </c>
      <c r="B32" t="s">
        <v>528</v>
      </c>
      <c r="C32" t="s">
        <v>614</v>
      </c>
      <c r="D32" t="s">
        <v>852</v>
      </c>
      <c r="E32" s="1">
        <v>45020</v>
      </c>
      <c r="F32" s="20">
        <v>0.4375</v>
      </c>
      <c r="G32" t="s">
        <v>635</v>
      </c>
      <c r="H32" t="s">
        <v>637</v>
      </c>
      <c r="I32" t="str">
        <f t="shared" si="0"/>
        <v>April</v>
      </c>
      <c r="J32">
        <f>HOUR(Appointment[[#This Row],[appointment_time]])</f>
        <v>10</v>
      </c>
    </row>
    <row r="33" spans="1:10" x14ac:dyDescent="0.25">
      <c r="A33" t="s">
        <v>77</v>
      </c>
      <c r="B33" t="s">
        <v>586</v>
      </c>
      <c r="C33" t="s">
        <v>612</v>
      </c>
      <c r="D33" t="s">
        <v>859</v>
      </c>
      <c r="E33" s="1">
        <v>45236</v>
      </c>
      <c r="F33" s="20">
        <v>0.44791666666666669</v>
      </c>
      <c r="G33" t="s">
        <v>635</v>
      </c>
      <c r="H33" t="s">
        <v>630</v>
      </c>
      <c r="I33" t="str">
        <f t="shared" si="0"/>
        <v>November</v>
      </c>
      <c r="J33">
        <f>HOUR(Appointment[[#This Row],[appointment_time]])</f>
        <v>10</v>
      </c>
    </row>
    <row r="34" spans="1:10" x14ac:dyDescent="0.25">
      <c r="A34" t="s">
        <v>79</v>
      </c>
      <c r="B34" t="s">
        <v>510</v>
      </c>
      <c r="C34" t="s">
        <v>612</v>
      </c>
      <c r="D34" t="s">
        <v>859</v>
      </c>
      <c r="E34" s="1">
        <v>45192</v>
      </c>
      <c r="F34" s="20">
        <v>0.73958333333333337</v>
      </c>
      <c r="G34" t="s">
        <v>629</v>
      </c>
      <c r="H34" t="s">
        <v>631</v>
      </c>
      <c r="I34" t="str">
        <f t="shared" ref="I34:I65" si="1">TEXT(E:E,"mmmm")</f>
        <v>September</v>
      </c>
      <c r="J34">
        <f>HOUR(Appointment[[#This Row],[appointment_time]])</f>
        <v>17</v>
      </c>
    </row>
    <row r="35" spans="1:10" x14ac:dyDescent="0.25">
      <c r="A35" t="s">
        <v>81</v>
      </c>
      <c r="B35" t="s">
        <v>562</v>
      </c>
      <c r="C35" t="s">
        <v>609</v>
      </c>
      <c r="D35" t="s">
        <v>851</v>
      </c>
      <c r="E35" s="1">
        <v>45090</v>
      </c>
      <c r="F35" s="20">
        <v>0.47916666666666669</v>
      </c>
      <c r="G35" t="s">
        <v>632</v>
      </c>
      <c r="H35" t="s">
        <v>631</v>
      </c>
      <c r="I35" t="str">
        <f t="shared" si="1"/>
        <v>June</v>
      </c>
      <c r="J35">
        <f>HOUR(Appointment[[#This Row],[appointment_time]])</f>
        <v>11</v>
      </c>
    </row>
    <row r="36" spans="1:10" x14ac:dyDescent="0.25">
      <c r="A36" t="s">
        <v>83</v>
      </c>
      <c r="B36" t="s">
        <v>555</v>
      </c>
      <c r="C36" t="s">
        <v>607</v>
      </c>
      <c r="D36" t="s">
        <v>853</v>
      </c>
      <c r="E36" s="1">
        <v>45034</v>
      </c>
      <c r="F36" s="20">
        <v>0.36458333333333331</v>
      </c>
      <c r="G36" t="s">
        <v>636</v>
      </c>
      <c r="H36" t="s">
        <v>630</v>
      </c>
      <c r="I36" t="str">
        <f t="shared" si="1"/>
        <v>April</v>
      </c>
      <c r="J36">
        <f>HOUR(Appointment[[#This Row],[appointment_time]])</f>
        <v>8</v>
      </c>
    </row>
    <row r="37" spans="1:10" x14ac:dyDescent="0.25">
      <c r="A37" t="s">
        <v>85</v>
      </c>
      <c r="B37" t="s">
        <v>548</v>
      </c>
      <c r="C37" t="s">
        <v>607</v>
      </c>
      <c r="D37" t="s">
        <v>853</v>
      </c>
      <c r="E37" s="1">
        <v>44934</v>
      </c>
      <c r="F37" s="20">
        <v>0.60416666666666663</v>
      </c>
      <c r="G37" t="s">
        <v>635</v>
      </c>
      <c r="H37" t="s">
        <v>631</v>
      </c>
      <c r="I37" t="str">
        <f t="shared" si="1"/>
        <v>January</v>
      </c>
      <c r="J37">
        <f>HOUR(Appointment[[#This Row],[appointment_time]])</f>
        <v>14</v>
      </c>
    </row>
    <row r="38" spans="1:10" x14ac:dyDescent="0.25">
      <c r="A38" t="s">
        <v>87</v>
      </c>
      <c r="B38" t="s">
        <v>540</v>
      </c>
      <c r="C38" t="s">
        <v>609</v>
      </c>
      <c r="D38" t="s">
        <v>851</v>
      </c>
      <c r="E38" s="1">
        <v>45013</v>
      </c>
      <c r="F38" s="20">
        <v>0.45833333333333331</v>
      </c>
      <c r="G38" t="s">
        <v>632</v>
      </c>
      <c r="H38" t="s">
        <v>630</v>
      </c>
      <c r="I38" t="str">
        <f t="shared" si="1"/>
        <v>March</v>
      </c>
      <c r="J38">
        <f>HOUR(Appointment[[#This Row],[appointment_time]])</f>
        <v>11</v>
      </c>
    </row>
    <row r="39" spans="1:10" x14ac:dyDescent="0.25">
      <c r="A39" t="s">
        <v>89</v>
      </c>
      <c r="B39" t="s">
        <v>557</v>
      </c>
      <c r="C39" t="s">
        <v>621</v>
      </c>
      <c r="D39" t="s">
        <v>850</v>
      </c>
      <c r="E39" s="1">
        <v>44980</v>
      </c>
      <c r="F39" s="20">
        <v>0.54166666666666663</v>
      </c>
      <c r="G39" t="s">
        <v>632</v>
      </c>
      <c r="H39" t="s">
        <v>630</v>
      </c>
      <c r="I39" t="str">
        <f t="shared" si="1"/>
        <v>February</v>
      </c>
      <c r="J39">
        <f>HOUR(Appointment[[#This Row],[appointment_time]])</f>
        <v>13</v>
      </c>
    </row>
    <row r="40" spans="1:10" x14ac:dyDescent="0.25">
      <c r="A40" t="s">
        <v>91</v>
      </c>
      <c r="B40" t="s">
        <v>518</v>
      </c>
      <c r="C40" t="s">
        <v>603</v>
      </c>
      <c r="D40" t="s">
        <v>856</v>
      </c>
      <c r="E40" s="1">
        <v>45033</v>
      </c>
      <c r="F40" s="20">
        <v>0.33333333333333331</v>
      </c>
      <c r="G40" t="s">
        <v>636</v>
      </c>
      <c r="H40" t="s">
        <v>630</v>
      </c>
      <c r="I40" t="str">
        <f t="shared" si="1"/>
        <v>April</v>
      </c>
      <c r="J40">
        <f>HOUR(Appointment[[#This Row],[appointment_time]])</f>
        <v>8</v>
      </c>
    </row>
    <row r="41" spans="1:10" x14ac:dyDescent="0.25">
      <c r="A41" t="s">
        <v>93</v>
      </c>
      <c r="B41" t="s">
        <v>474</v>
      </c>
      <c r="C41" t="s">
        <v>621</v>
      </c>
      <c r="D41" t="s">
        <v>850</v>
      </c>
      <c r="E41" s="1">
        <v>45012</v>
      </c>
      <c r="F41" s="20">
        <v>0.52083333333333337</v>
      </c>
      <c r="G41" t="s">
        <v>629</v>
      </c>
      <c r="H41" t="s">
        <v>637</v>
      </c>
      <c r="I41" t="str">
        <f t="shared" si="1"/>
        <v>March</v>
      </c>
      <c r="J41">
        <f>HOUR(Appointment[[#This Row],[appointment_time]])</f>
        <v>12</v>
      </c>
    </row>
    <row r="42" spans="1:10" x14ac:dyDescent="0.25">
      <c r="A42" t="s">
        <v>95</v>
      </c>
      <c r="B42" t="s">
        <v>453</v>
      </c>
      <c r="C42" t="s">
        <v>599</v>
      </c>
      <c r="D42" t="s">
        <v>858</v>
      </c>
      <c r="E42" s="1">
        <v>44927</v>
      </c>
      <c r="F42" s="20">
        <v>0.58333333333333337</v>
      </c>
      <c r="G42" t="s">
        <v>634</v>
      </c>
      <c r="H42" t="s">
        <v>631</v>
      </c>
      <c r="I42" t="str">
        <f t="shared" si="1"/>
        <v>January</v>
      </c>
      <c r="J42">
        <f>HOUR(Appointment[[#This Row],[appointment_time]])</f>
        <v>14</v>
      </c>
    </row>
    <row r="43" spans="1:10" x14ac:dyDescent="0.25">
      <c r="A43" t="s">
        <v>97</v>
      </c>
      <c r="B43" t="s">
        <v>555</v>
      </c>
      <c r="C43" t="s">
        <v>599</v>
      </c>
      <c r="D43" t="s">
        <v>858</v>
      </c>
      <c r="E43" s="1">
        <v>45006</v>
      </c>
      <c r="F43" s="20">
        <v>0.46875</v>
      </c>
      <c r="G43" t="s">
        <v>634</v>
      </c>
      <c r="H43" t="s">
        <v>630</v>
      </c>
      <c r="I43" t="str">
        <f t="shared" si="1"/>
        <v>March</v>
      </c>
      <c r="J43">
        <f>HOUR(Appointment[[#This Row],[appointment_time]])</f>
        <v>11</v>
      </c>
    </row>
    <row r="44" spans="1:10" x14ac:dyDescent="0.25">
      <c r="A44" t="s">
        <v>99</v>
      </c>
      <c r="B44" t="s">
        <v>550</v>
      </c>
      <c r="C44" t="s">
        <v>612</v>
      </c>
      <c r="D44" t="s">
        <v>859</v>
      </c>
      <c r="E44" s="1">
        <v>45014</v>
      </c>
      <c r="F44" s="20">
        <v>0.38541666666666669</v>
      </c>
      <c r="G44" t="s">
        <v>632</v>
      </c>
      <c r="H44" t="s">
        <v>631</v>
      </c>
      <c r="I44" t="str">
        <f t="shared" si="1"/>
        <v>March</v>
      </c>
      <c r="J44">
        <f>HOUR(Appointment[[#This Row],[appointment_time]])</f>
        <v>9</v>
      </c>
    </row>
    <row r="45" spans="1:10" x14ac:dyDescent="0.25">
      <c r="A45" t="s">
        <v>101</v>
      </c>
      <c r="B45" t="s">
        <v>543</v>
      </c>
      <c r="C45" t="s">
        <v>614</v>
      </c>
      <c r="D45" t="s">
        <v>852</v>
      </c>
      <c r="E45" s="1">
        <v>45189</v>
      </c>
      <c r="F45" s="20">
        <v>0.52083333333333337</v>
      </c>
      <c r="G45" t="s">
        <v>636</v>
      </c>
      <c r="H45" t="s">
        <v>637</v>
      </c>
      <c r="I45" t="str">
        <f t="shared" si="1"/>
        <v>September</v>
      </c>
      <c r="J45">
        <f>HOUR(Appointment[[#This Row],[appointment_time]])</f>
        <v>12</v>
      </c>
    </row>
    <row r="46" spans="1:10" x14ac:dyDescent="0.25">
      <c r="A46" t="s">
        <v>103</v>
      </c>
      <c r="B46" t="s">
        <v>474</v>
      </c>
      <c r="C46" t="s">
        <v>614</v>
      </c>
      <c r="D46" t="s">
        <v>852</v>
      </c>
      <c r="E46" s="1">
        <v>45197</v>
      </c>
      <c r="F46" s="20">
        <v>0.70833333333333337</v>
      </c>
      <c r="G46" t="s">
        <v>634</v>
      </c>
      <c r="H46" t="s">
        <v>630</v>
      </c>
      <c r="I46" t="str">
        <f t="shared" si="1"/>
        <v>September</v>
      </c>
      <c r="J46">
        <f>HOUR(Appointment[[#This Row],[appointment_time]])</f>
        <v>17</v>
      </c>
    </row>
    <row r="47" spans="1:10" x14ac:dyDescent="0.25">
      <c r="A47" t="s">
        <v>105</v>
      </c>
      <c r="B47" t="s">
        <v>502</v>
      </c>
      <c r="C47" t="s">
        <v>607</v>
      </c>
      <c r="D47" t="s">
        <v>853</v>
      </c>
      <c r="E47" s="1">
        <v>45280</v>
      </c>
      <c r="F47" s="20">
        <v>0.55208333333333337</v>
      </c>
      <c r="G47" t="s">
        <v>632</v>
      </c>
      <c r="H47" t="s">
        <v>633</v>
      </c>
      <c r="I47" t="str">
        <f t="shared" si="1"/>
        <v>December</v>
      </c>
      <c r="J47">
        <f>HOUR(Appointment[[#This Row],[appointment_time]])</f>
        <v>13</v>
      </c>
    </row>
    <row r="48" spans="1:10" x14ac:dyDescent="0.25">
      <c r="A48" t="s">
        <v>107</v>
      </c>
      <c r="B48" t="s">
        <v>546</v>
      </c>
      <c r="C48" t="s">
        <v>616</v>
      </c>
      <c r="D48" t="s">
        <v>854</v>
      </c>
      <c r="E48" s="1">
        <v>45048</v>
      </c>
      <c r="F48" s="20">
        <v>0.45833333333333331</v>
      </c>
      <c r="G48" t="s">
        <v>629</v>
      </c>
      <c r="H48" t="s">
        <v>637</v>
      </c>
      <c r="I48" t="str">
        <f t="shared" si="1"/>
        <v>May</v>
      </c>
      <c r="J48">
        <f>HOUR(Appointment[[#This Row],[appointment_time]])</f>
        <v>11</v>
      </c>
    </row>
    <row r="49" spans="1:10" x14ac:dyDescent="0.25">
      <c r="A49" t="s">
        <v>109</v>
      </c>
      <c r="B49" t="s">
        <v>425</v>
      </c>
      <c r="C49" t="s">
        <v>621</v>
      </c>
      <c r="D49" t="s">
        <v>850</v>
      </c>
      <c r="E49" s="1">
        <v>44942</v>
      </c>
      <c r="F49" s="20">
        <v>0.65625</v>
      </c>
      <c r="G49" t="s">
        <v>634</v>
      </c>
      <c r="H49" t="s">
        <v>633</v>
      </c>
      <c r="I49" t="str">
        <f t="shared" si="1"/>
        <v>January</v>
      </c>
      <c r="J49">
        <f>HOUR(Appointment[[#This Row],[appointment_time]])</f>
        <v>15</v>
      </c>
    </row>
    <row r="50" spans="1:10" x14ac:dyDescent="0.25">
      <c r="A50" t="s">
        <v>111</v>
      </c>
      <c r="B50" t="s">
        <v>453</v>
      </c>
      <c r="C50" t="s">
        <v>623</v>
      </c>
      <c r="D50" t="s">
        <v>855</v>
      </c>
      <c r="E50" s="1">
        <v>45046</v>
      </c>
      <c r="F50" s="20">
        <v>0.64583333333333337</v>
      </c>
      <c r="G50" t="s">
        <v>632</v>
      </c>
      <c r="H50" t="s">
        <v>631</v>
      </c>
      <c r="I50" t="str">
        <f t="shared" si="1"/>
        <v>April</v>
      </c>
      <c r="J50">
        <f>HOUR(Appointment[[#This Row],[appointment_time]])</f>
        <v>15</v>
      </c>
    </row>
    <row r="51" spans="1:10" x14ac:dyDescent="0.25">
      <c r="A51" t="s">
        <v>113</v>
      </c>
      <c r="B51" t="s">
        <v>579</v>
      </c>
      <c r="C51" t="s">
        <v>619</v>
      </c>
      <c r="D51" t="s">
        <v>857</v>
      </c>
      <c r="E51" s="1">
        <v>45154</v>
      </c>
      <c r="F51" s="20">
        <v>0.625</v>
      </c>
      <c r="G51" t="s">
        <v>632</v>
      </c>
      <c r="H51" t="s">
        <v>631</v>
      </c>
      <c r="I51" t="str">
        <f t="shared" si="1"/>
        <v>August</v>
      </c>
      <c r="J51">
        <f>HOUR(Appointment[[#This Row],[appointment_time]])</f>
        <v>15</v>
      </c>
    </row>
    <row r="52" spans="1:10" x14ac:dyDescent="0.25">
      <c r="A52" t="s">
        <v>115</v>
      </c>
      <c r="B52" t="s">
        <v>446</v>
      </c>
      <c r="C52" t="s">
        <v>614</v>
      </c>
      <c r="D52" t="s">
        <v>852</v>
      </c>
      <c r="E52" s="1">
        <v>44961</v>
      </c>
      <c r="F52" s="20">
        <v>0.48958333333333331</v>
      </c>
      <c r="G52" t="s">
        <v>635</v>
      </c>
      <c r="H52" t="s">
        <v>637</v>
      </c>
      <c r="I52" t="str">
        <f t="shared" si="1"/>
        <v>February</v>
      </c>
      <c r="J52">
        <f>HOUR(Appointment[[#This Row],[appointment_time]])</f>
        <v>11</v>
      </c>
    </row>
    <row r="53" spans="1:10" x14ac:dyDescent="0.25">
      <c r="A53" t="s">
        <v>117</v>
      </c>
      <c r="B53" t="s">
        <v>493</v>
      </c>
      <c r="C53" t="s">
        <v>619</v>
      </c>
      <c r="D53" t="s">
        <v>857</v>
      </c>
      <c r="E53" s="1">
        <v>45119</v>
      </c>
      <c r="F53" s="20">
        <v>0.39583333333333331</v>
      </c>
      <c r="G53" t="s">
        <v>629</v>
      </c>
      <c r="H53" t="s">
        <v>631</v>
      </c>
      <c r="I53" t="str">
        <f t="shared" si="1"/>
        <v>July</v>
      </c>
      <c r="J53">
        <f>HOUR(Appointment[[#This Row],[appointment_time]])</f>
        <v>9</v>
      </c>
    </row>
    <row r="54" spans="1:10" x14ac:dyDescent="0.25">
      <c r="A54" t="s">
        <v>119</v>
      </c>
      <c r="B54" t="s">
        <v>521</v>
      </c>
      <c r="C54" t="s">
        <v>612</v>
      </c>
      <c r="D54" t="s">
        <v>859</v>
      </c>
      <c r="E54" s="1">
        <v>44969</v>
      </c>
      <c r="F54" s="20">
        <v>0.4375</v>
      </c>
      <c r="G54" t="s">
        <v>635</v>
      </c>
      <c r="H54" t="s">
        <v>633</v>
      </c>
      <c r="I54" t="str">
        <f t="shared" si="1"/>
        <v>February</v>
      </c>
      <c r="J54">
        <f>HOUR(Appointment[[#This Row],[appointment_time]])</f>
        <v>10</v>
      </c>
    </row>
    <row r="55" spans="1:10" x14ac:dyDescent="0.25">
      <c r="A55" t="s">
        <v>121</v>
      </c>
      <c r="B55" t="s">
        <v>493</v>
      </c>
      <c r="C55" t="s">
        <v>619</v>
      </c>
      <c r="D55" t="s">
        <v>857</v>
      </c>
      <c r="E55" s="1">
        <v>45276</v>
      </c>
      <c r="F55" s="20">
        <v>0.48958333333333331</v>
      </c>
      <c r="G55" t="s">
        <v>636</v>
      </c>
      <c r="H55" t="s">
        <v>630</v>
      </c>
      <c r="I55" t="str">
        <f t="shared" si="1"/>
        <v>December</v>
      </c>
      <c r="J55">
        <f>HOUR(Appointment[[#This Row],[appointment_time]])</f>
        <v>11</v>
      </c>
    </row>
    <row r="56" spans="1:10" x14ac:dyDescent="0.25">
      <c r="A56" t="s">
        <v>123</v>
      </c>
      <c r="B56" t="s">
        <v>433</v>
      </c>
      <c r="C56" t="s">
        <v>623</v>
      </c>
      <c r="D56" t="s">
        <v>855</v>
      </c>
      <c r="E56" s="1">
        <v>45205</v>
      </c>
      <c r="F56" s="20">
        <v>0.72916666666666663</v>
      </c>
      <c r="G56" t="s">
        <v>635</v>
      </c>
      <c r="H56" t="s">
        <v>630</v>
      </c>
      <c r="I56" t="str">
        <f t="shared" si="1"/>
        <v>October</v>
      </c>
      <c r="J56">
        <f>HOUR(Appointment[[#This Row],[appointment_time]])</f>
        <v>17</v>
      </c>
    </row>
    <row r="57" spans="1:10" x14ac:dyDescent="0.25">
      <c r="A57" t="s">
        <v>125</v>
      </c>
      <c r="B57" t="s">
        <v>589</v>
      </c>
      <c r="C57" t="s">
        <v>609</v>
      </c>
      <c r="D57" t="s">
        <v>851</v>
      </c>
      <c r="E57" s="1">
        <v>44928</v>
      </c>
      <c r="F57" s="20">
        <v>0.53125</v>
      </c>
      <c r="G57" t="s">
        <v>635</v>
      </c>
      <c r="H57" t="s">
        <v>630</v>
      </c>
      <c r="I57" t="str">
        <f t="shared" si="1"/>
        <v>January</v>
      </c>
      <c r="J57">
        <f>HOUR(Appointment[[#This Row],[appointment_time]])</f>
        <v>12</v>
      </c>
    </row>
    <row r="58" spans="1:10" x14ac:dyDescent="0.25">
      <c r="A58" t="s">
        <v>127</v>
      </c>
      <c r="B58" t="s">
        <v>534</v>
      </c>
      <c r="C58" t="s">
        <v>623</v>
      </c>
      <c r="D58" t="s">
        <v>855</v>
      </c>
      <c r="E58" s="1">
        <v>45031</v>
      </c>
      <c r="F58" s="20">
        <v>0.73958333333333337</v>
      </c>
      <c r="G58" t="s">
        <v>634</v>
      </c>
      <c r="H58" t="s">
        <v>637</v>
      </c>
      <c r="I58" t="str">
        <f t="shared" si="1"/>
        <v>April</v>
      </c>
      <c r="J58">
        <f>HOUR(Appointment[[#This Row],[appointment_time]])</f>
        <v>17</v>
      </c>
    </row>
    <row r="59" spans="1:10" x14ac:dyDescent="0.25">
      <c r="A59" t="s">
        <v>129</v>
      </c>
      <c r="B59" t="s">
        <v>546</v>
      </c>
      <c r="C59" t="s">
        <v>619</v>
      </c>
      <c r="D59" t="s">
        <v>857</v>
      </c>
      <c r="E59" s="1">
        <v>45055</v>
      </c>
      <c r="F59" s="20">
        <v>0.55208333333333337</v>
      </c>
      <c r="G59" t="s">
        <v>632</v>
      </c>
      <c r="H59" t="s">
        <v>631</v>
      </c>
      <c r="I59" t="str">
        <f t="shared" si="1"/>
        <v>May</v>
      </c>
      <c r="J59">
        <f>HOUR(Appointment[[#This Row],[appointment_time]])</f>
        <v>13</v>
      </c>
    </row>
    <row r="60" spans="1:10" x14ac:dyDescent="0.25">
      <c r="A60" t="s">
        <v>131</v>
      </c>
      <c r="B60" t="s">
        <v>531</v>
      </c>
      <c r="C60" t="s">
        <v>623</v>
      </c>
      <c r="D60" t="s">
        <v>855</v>
      </c>
      <c r="E60" s="1">
        <v>44994</v>
      </c>
      <c r="F60" s="20">
        <v>0.64583333333333337</v>
      </c>
      <c r="G60" t="s">
        <v>629</v>
      </c>
      <c r="H60" t="s">
        <v>633</v>
      </c>
      <c r="I60" t="str">
        <f t="shared" si="1"/>
        <v>March</v>
      </c>
      <c r="J60">
        <f>HOUR(Appointment[[#This Row],[appointment_time]])</f>
        <v>15</v>
      </c>
    </row>
    <row r="61" spans="1:10" x14ac:dyDescent="0.25">
      <c r="A61" t="s">
        <v>133</v>
      </c>
      <c r="B61" t="s">
        <v>506</v>
      </c>
      <c r="C61" t="s">
        <v>603</v>
      </c>
      <c r="D61" t="s">
        <v>856</v>
      </c>
      <c r="E61" s="1">
        <v>45252</v>
      </c>
      <c r="F61" s="20">
        <v>0.71875</v>
      </c>
      <c r="G61" t="s">
        <v>635</v>
      </c>
      <c r="H61" t="s">
        <v>631</v>
      </c>
      <c r="I61" t="str">
        <f t="shared" si="1"/>
        <v>November</v>
      </c>
      <c r="J61">
        <f>HOUR(Appointment[[#This Row],[appointment_time]])</f>
        <v>17</v>
      </c>
    </row>
    <row r="62" spans="1:10" x14ac:dyDescent="0.25">
      <c r="A62" t="s">
        <v>135</v>
      </c>
      <c r="B62" t="s">
        <v>521</v>
      </c>
      <c r="C62" t="s">
        <v>612</v>
      </c>
      <c r="D62" t="s">
        <v>859</v>
      </c>
      <c r="E62" s="1">
        <v>44941</v>
      </c>
      <c r="F62" s="20">
        <v>0.70833333333333337</v>
      </c>
      <c r="G62" t="s">
        <v>629</v>
      </c>
      <c r="H62" t="s">
        <v>631</v>
      </c>
      <c r="I62" t="str">
        <f t="shared" si="1"/>
        <v>January</v>
      </c>
      <c r="J62">
        <f>HOUR(Appointment[[#This Row],[appointment_time]])</f>
        <v>17</v>
      </c>
    </row>
    <row r="63" spans="1:10" x14ac:dyDescent="0.25">
      <c r="A63" t="s">
        <v>137</v>
      </c>
      <c r="B63" t="s">
        <v>481</v>
      </c>
      <c r="C63" t="s">
        <v>621</v>
      </c>
      <c r="D63" t="s">
        <v>850</v>
      </c>
      <c r="E63" s="1">
        <v>45091</v>
      </c>
      <c r="F63" s="20">
        <v>0.63541666666666663</v>
      </c>
      <c r="G63" t="s">
        <v>635</v>
      </c>
      <c r="H63" t="s">
        <v>631</v>
      </c>
      <c r="I63" t="str">
        <f t="shared" si="1"/>
        <v>June</v>
      </c>
      <c r="J63">
        <f>HOUR(Appointment[[#This Row],[appointment_time]])</f>
        <v>15</v>
      </c>
    </row>
    <row r="64" spans="1:10" x14ac:dyDescent="0.25">
      <c r="A64" t="s">
        <v>139</v>
      </c>
      <c r="B64" t="s">
        <v>592</v>
      </c>
      <c r="C64" t="s">
        <v>609</v>
      </c>
      <c r="D64" t="s">
        <v>851</v>
      </c>
      <c r="E64" s="1">
        <v>45106</v>
      </c>
      <c r="F64" s="20">
        <v>0.375</v>
      </c>
      <c r="G64" t="s">
        <v>636</v>
      </c>
      <c r="H64" t="s">
        <v>630</v>
      </c>
      <c r="I64" t="str">
        <f t="shared" si="1"/>
        <v>June</v>
      </c>
      <c r="J64">
        <f>HOUR(Appointment[[#This Row],[appointment_time]])</f>
        <v>9</v>
      </c>
    </row>
    <row r="65" spans="1:10" x14ac:dyDescent="0.25">
      <c r="A65" t="s">
        <v>141</v>
      </c>
      <c r="B65" t="s">
        <v>553</v>
      </c>
      <c r="C65" t="s">
        <v>614</v>
      </c>
      <c r="D65" t="s">
        <v>852</v>
      </c>
      <c r="E65" s="1">
        <v>45077</v>
      </c>
      <c r="F65" s="20">
        <v>0.35416666666666669</v>
      </c>
      <c r="G65" t="s">
        <v>635</v>
      </c>
      <c r="H65" t="s">
        <v>633</v>
      </c>
      <c r="I65" t="str">
        <f t="shared" si="1"/>
        <v>May</v>
      </c>
      <c r="J65">
        <f>HOUR(Appointment[[#This Row],[appointment_time]])</f>
        <v>8</v>
      </c>
    </row>
    <row r="66" spans="1:10" x14ac:dyDescent="0.25">
      <c r="A66" t="s">
        <v>143</v>
      </c>
      <c r="B66" t="s">
        <v>548</v>
      </c>
      <c r="C66" t="s">
        <v>599</v>
      </c>
      <c r="D66" t="s">
        <v>858</v>
      </c>
      <c r="E66" s="1">
        <v>45040</v>
      </c>
      <c r="F66" s="20">
        <v>0.65625</v>
      </c>
      <c r="G66" t="s">
        <v>634</v>
      </c>
      <c r="H66" t="s">
        <v>633</v>
      </c>
      <c r="I66" t="str">
        <f t="shared" ref="I66:I97" si="2">TEXT(E:E,"mmmm")</f>
        <v>April</v>
      </c>
      <c r="J66">
        <f>HOUR(Appointment[[#This Row],[appointment_time]])</f>
        <v>15</v>
      </c>
    </row>
    <row r="67" spans="1:10" x14ac:dyDescent="0.25">
      <c r="A67" t="s">
        <v>145</v>
      </c>
      <c r="B67" t="s">
        <v>548</v>
      </c>
      <c r="C67" t="s">
        <v>621</v>
      </c>
      <c r="D67" t="s">
        <v>850</v>
      </c>
      <c r="E67" s="1">
        <v>45056</v>
      </c>
      <c r="F67" s="20">
        <v>0.48958333333333331</v>
      </c>
      <c r="G67" t="s">
        <v>632</v>
      </c>
      <c r="H67" t="s">
        <v>631</v>
      </c>
      <c r="I67" t="str">
        <f t="shared" si="2"/>
        <v>May</v>
      </c>
      <c r="J67">
        <f>HOUR(Appointment[[#This Row],[appointment_time]])</f>
        <v>11</v>
      </c>
    </row>
    <row r="68" spans="1:10" x14ac:dyDescent="0.25">
      <c r="A68" t="s">
        <v>147</v>
      </c>
      <c r="B68" t="s">
        <v>573</v>
      </c>
      <c r="C68" t="s">
        <v>599</v>
      </c>
      <c r="D68" t="s">
        <v>858</v>
      </c>
      <c r="E68" s="1">
        <v>45148</v>
      </c>
      <c r="F68" s="20">
        <v>0.45833333333333331</v>
      </c>
      <c r="G68" t="s">
        <v>636</v>
      </c>
      <c r="H68" t="s">
        <v>630</v>
      </c>
      <c r="I68" t="str">
        <f t="shared" si="2"/>
        <v>August</v>
      </c>
      <c r="J68">
        <f>HOUR(Appointment[[#This Row],[appointment_time]])</f>
        <v>11</v>
      </c>
    </row>
    <row r="69" spans="1:10" x14ac:dyDescent="0.25">
      <c r="A69" t="s">
        <v>149</v>
      </c>
      <c r="B69" t="s">
        <v>557</v>
      </c>
      <c r="C69" t="s">
        <v>612</v>
      </c>
      <c r="D69" t="s">
        <v>859</v>
      </c>
      <c r="E69" s="1">
        <v>44999</v>
      </c>
      <c r="F69" s="20">
        <v>0.625</v>
      </c>
      <c r="G69" t="s">
        <v>635</v>
      </c>
      <c r="H69" t="s">
        <v>630</v>
      </c>
      <c r="I69" t="str">
        <f t="shared" si="2"/>
        <v>March</v>
      </c>
      <c r="J69">
        <f>HOUR(Appointment[[#This Row],[appointment_time]])</f>
        <v>15</v>
      </c>
    </row>
    <row r="70" spans="1:10" x14ac:dyDescent="0.25">
      <c r="A70" t="s">
        <v>151</v>
      </c>
      <c r="B70" t="s">
        <v>481</v>
      </c>
      <c r="C70" t="s">
        <v>609</v>
      </c>
      <c r="D70" t="s">
        <v>851</v>
      </c>
      <c r="E70" s="1">
        <v>45014</v>
      </c>
      <c r="F70" s="20">
        <v>0.64583333333333337</v>
      </c>
      <c r="G70" t="s">
        <v>629</v>
      </c>
      <c r="H70" t="s">
        <v>633</v>
      </c>
      <c r="I70" t="str">
        <f t="shared" si="2"/>
        <v>March</v>
      </c>
      <c r="J70">
        <f>HOUR(Appointment[[#This Row],[appointment_time]])</f>
        <v>15</v>
      </c>
    </row>
    <row r="71" spans="1:10" x14ac:dyDescent="0.25">
      <c r="A71" t="s">
        <v>153</v>
      </c>
      <c r="B71" t="s">
        <v>440</v>
      </c>
      <c r="C71" t="s">
        <v>607</v>
      </c>
      <c r="D71" t="s">
        <v>853</v>
      </c>
      <c r="E71" s="1">
        <v>45164</v>
      </c>
      <c r="F71" s="20">
        <v>0.70833333333333337</v>
      </c>
      <c r="G71" t="s">
        <v>636</v>
      </c>
      <c r="H71" t="s">
        <v>630</v>
      </c>
      <c r="I71" t="str">
        <f t="shared" si="2"/>
        <v>August</v>
      </c>
      <c r="J71">
        <f>HOUR(Appointment[[#This Row],[appointment_time]])</f>
        <v>17</v>
      </c>
    </row>
    <row r="72" spans="1:10" x14ac:dyDescent="0.25">
      <c r="A72" t="s">
        <v>155</v>
      </c>
      <c r="B72" t="s">
        <v>425</v>
      </c>
      <c r="C72" t="s">
        <v>614</v>
      </c>
      <c r="D72" t="s">
        <v>852</v>
      </c>
      <c r="E72" s="1">
        <v>44952</v>
      </c>
      <c r="F72" s="20">
        <v>0.70833333333333337</v>
      </c>
      <c r="G72" t="s">
        <v>636</v>
      </c>
      <c r="H72" t="s">
        <v>630</v>
      </c>
      <c r="I72" t="str">
        <f t="shared" si="2"/>
        <v>January</v>
      </c>
      <c r="J72">
        <f>HOUR(Appointment[[#This Row],[appointment_time]])</f>
        <v>17</v>
      </c>
    </row>
    <row r="73" spans="1:10" x14ac:dyDescent="0.25">
      <c r="A73" t="s">
        <v>157</v>
      </c>
      <c r="B73" t="s">
        <v>548</v>
      </c>
      <c r="C73" t="s">
        <v>603</v>
      </c>
      <c r="D73" t="s">
        <v>856</v>
      </c>
      <c r="E73" s="1">
        <v>45089</v>
      </c>
      <c r="F73" s="20">
        <v>0.5625</v>
      </c>
      <c r="G73" t="s">
        <v>635</v>
      </c>
      <c r="H73" t="s">
        <v>630</v>
      </c>
      <c r="I73" t="str">
        <f t="shared" si="2"/>
        <v>June</v>
      </c>
      <c r="J73">
        <f>HOUR(Appointment[[#This Row],[appointment_time]])</f>
        <v>13</v>
      </c>
    </row>
    <row r="74" spans="1:10" x14ac:dyDescent="0.25">
      <c r="A74" t="s">
        <v>159</v>
      </c>
      <c r="B74" t="s">
        <v>565</v>
      </c>
      <c r="C74" t="s">
        <v>607</v>
      </c>
      <c r="D74" t="s">
        <v>853</v>
      </c>
      <c r="E74" s="1">
        <v>45284</v>
      </c>
      <c r="F74" s="20">
        <v>0.625</v>
      </c>
      <c r="G74" t="s">
        <v>636</v>
      </c>
      <c r="H74" t="s">
        <v>637</v>
      </c>
      <c r="I74" t="str">
        <f t="shared" si="2"/>
        <v>December</v>
      </c>
      <c r="J74">
        <f>HOUR(Appointment[[#This Row],[appointment_time]])</f>
        <v>15</v>
      </c>
    </row>
    <row r="75" spans="1:10" x14ac:dyDescent="0.25">
      <c r="A75" t="s">
        <v>161</v>
      </c>
      <c r="B75" t="s">
        <v>474</v>
      </c>
      <c r="C75" t="s">
        <v>612</v>
      </c>
      <c r="D75" t="s">
        <v>859</v>
      </c>
      <c r="E75" s="1">
        <v>45130</v>
      </c>
      <c r="F75" s="20">
        <v>0.5625</v>
      </c>
      <c r="G75" t="s">
        <v>629</v>
      </c>
      <c r="H75" t="s">
        <v>631</v>
      </c>
      <c r="I75" t="str">
        <f t="shared" si="2"/>
        <v>July</v>
      </c>
      <c r="J75">
        <f>HOUR(Appointment[[#This Row],[appointment_time]])</f>
        <v>13</v>
      </c>
    </row>
    <row r="76" spans="1:10" x14ac:dyDescent="0.25">
      <c r="A76" t="s">
        <v>163</v>
      </c>
      <c r="B76" t="s">
        <v>573</v>
      </c>
      <c r="C76" t="s">
        <v>621</v>
      </c>
      <c r="D76" t="s">
        <v>850</v>
      </c>
      <c r="E76" s="1">
        <v>45054</v>
      </c>
      <c r="F76" s="20">
        <v>0.58333333333333337</v>
      </c>
      <c r="G76" t="s">
        <v>636</v>
      </c>
      <c r="H76" t="s">
        <v>633</v>
      </c>
      <c r="I76" t="str">
        <f t="shared" si="2"/>
        <v>May</v>
      </c>
      <c r="J76">
        <f>HOUR(Appointment[[#This Row],[appointment_time]])</f>
        <v>14</v>
      </c>
    </row>
    <row r="77" spans="1:10" x14ac:dyDescent="0.25">
      <c r="A77" t="s">
        <v>165</v>
      </c>
      <c r="B77" t="s">
        <v>576</v>
      </c>
      <c r="C77" t="s">
        <v>603</v>
      </c>
      <c r="D77" t="s">
        <v>856</v>
      </c>
      <c r="E77" s="1">
        <v>45257</v>
      </c>
      <c r="F77" s="20">
        <v>0.5</v>
      </c>
      <c r="G77" t="s">
        <v>629</v>
      </c>
      <c r="H77" t="s">
        <v>633</v>
      </c>
      <c r="I77" t="str">
        <f t="shared" si="2"/>
        <v>November</v>
      </c>
      <c r="J77">
        <f>HOUR(Appointment[[#This Row],[appointment_time]])</f>
        <v>12</v>
      </c>
    </row>
    <row r="78" spans="1:10" x14ac:dyDescent="0.25">
      <c r="A78" t="s">
        <v>167</v>
      </c>
      <c r="B78" t="s">
        <v>537</v>
      </c>
      <c r="C78" t="s">
        <v>623</v>
      </c>
      <c r="D78" t="s">
        <v>855</v>
      </c>
      <c r="E78" s="1">
        <v>45274</v>
      </c>
      <c r="F78" s="20">
        <v>0.71875</v>
      </c>
      <c r="G78" t="s">
        <v>635</v>
      </c>
      <c r="H78" t="s">
        <v>637</v>
      </c>
      <c r="I78" t="str">
        <f t="shared" si="2"/>
        <v>December</v>
      </c>
      <c r="J78">
        <f>HOUR(Appointment[[#This Row],[appointment_time]])</f>
        <v>17</v>
      </c>
    </row>
    <row r="79" spans="1:10" x14ac:dyDescent="0.25">
      <c r="A79" t="s">
        <v>169</v>
      </c>
      <c r="B79" t="s">
        <v>483</v>
      </c>
      <c r="C79" t="s">
        <v>619</v>
      </c>
      <c r="D79" t="s">
        <v>857</v>
      </c>
      <c r="E79" s="1">
        <v>45186</v>
      </c>
      <c r="F79" s="20">
        <v>0.46875</v>
      </c>
      <c r="G79" t="s">
        <v>632</v>
      </c>
      <c r="H79" t="s">
        <v>631</v>
      </c>
      <c r="I79" t="str">
        <f t="shared" si="2"/>
        <v>September</v>
      </c>
      <c r="J79">
        <f>HOUR(Appointment[[#This Row],[appointment_time]])</f>
        <v>11</v>
      </c>
    </row>
    <row r="80" spans="1:10" x14ac:dyDescent="0.25">
      <c r="A80" t="s">
        <v>171</v>
      </c>
      <c r="B80" t="s">
        <v>481</v>
      </c>
      <c r="C80" t="s">
        <v>603</v>
      </c>
      <c r="D80" t="s">
        <v>856</v>
      </c>
      <c r="E80" s="1">
        <v>45286</v>
      </c>
      <c r="F80" s="20">
        <v>0.58333333333333337</v>
      </c>
      <c r="G80" t="s">
        <v>636</v>
      </c>
      <c r="H80" t="s">
        <v>633</v>
      </c>
      <c r="I80" t="str">
        <f t="shared" si="2"/>
        <v>December</v>
      </c>
      <c r="J80">
        <f>HOUR(Appointment[[#This Row],[appointment_time]])</f>
        <v>14</v>
      </c>
    </row>
    <row r="81" spans="1:10" x14ac:dyDescent="0.25">
      <c r="A81" t="s">
        <v>173</v>
      </c>
      <c r="B81" t="s">
        <v>543</v>
      </c>
      <c r="C81" t="s">
        <v>612</v>
      </c>
      <c r="D81" t="s">
        <v>859</v>
      </c>
      <c r="E81" s="1">
        <v>45103</v>
      </c>
      <c r="F81" s="20">
        <v>0.35416666666666669</v>
      </c>
      <c r="G81" t="s">
        <v>632</v>
      </c>
      <c r="H81" t="s">
        <v>630</v>
      </c>
      <c r="I81" t="str">
        <f t="shared" si="2"/>
        <v>June</v>
      </c>
      <c r="J81">
        <f>HOUR(Appointment[[#This Row],[appointment_time]])</f>
        <v>8</v>
      </c>
    </row>
    <row r="82" spans="1:10" x14ac:dyDescent="0.25">
      <c r="A82" t="s">
        <v>175</v>
      </c>
      <c r="B82" t="s">
        <v>582</v>
      </c>
      <c r="C82" t="s">
        <v>616</v>
      </c>
      <c r="D82" t="s">
        <v>854</v>
      </c>
      <c r="E82" s="1">
        <v>44932</v>
      </c>
      <c r="F82" s="20">
        <v>0.5625</v>
      </c>
      <c r="G82" t="s">
        <v>629</v>
      </c>
      <c r="H82" t="s">
        <v>633</v>
      </c>
      <c r="I82" t="str">
        <f t="shared" si="2"/>
        <v>January</v>
      </c>
      <c r="J82">
        <f>HOUR(Appointment[[#This Row],[appointment_time]])</f>
        <v>13</v>
      </c>
    </row>
    <row r="83" spans="1:10" x14ac:dyDescent="0.25">
      <c r="A83" t="s">
        <v>177</v>
      </c>
      <c r="B83" t="s">
        <v>433</v>
      </c>
      <c r="C83" t="s">
        <v>619</v>
      </c>
      <c r="D83" t="s">
        <v>857</v>
      </c>
      <c r="E83" s="1">
        <v>44946</v>
      </c>
      <c r="F83" s="20">
        <v>0.44791666666666669</v>
      </c>
      <c r="G83" t="s">
        <v>636</v>
      </c>
      <c r="H83" t="s">
        <v>630</v>
      </c>
      <c r="I83" t="str">
        <f t="shared" si="2"/>
        <v>January</v>
      </c>
      <c r="J83">
        <f>HOUR(Appointment[[#This Row],[appointment_time]])</f>
        <v>10</v>
      </c>
    </row>
    <row r="84" spans="1:10" x14ac:dyDescent="0.25">
      <c r="A84" t="s">
        <v>179</v>
      </c>
      <c r="B84" t="s">
        <v>592</v>
      </c>
      <c r="C84" t="s">
        <v>599</v>
      </c>
      <c r="D84" t="s">
        <v>858</v>
      </c>
      <c r="E84" s="1">
        <v>45237</v>
      </c>
      <c r="F84" s="20">
        <v>0.52083333333333337</v>
      </c>
      <c r="G84" t="s">
        <v>634</v>
      </c>
      <c r="H84" t="s">
        <v>637</v>
      </c>
      <c r="I84" t="str">
        <f t="shared" si="2"/>
        <v>November</v>
      </c>
      <c r="J84">
        <f>HOUR(Appointment[[#This Row],[appointment_time]])</f>
        <v>12</v>
      </c>
    </row>
    <row r="85" spans="1:10" x14ac:dyDescent="0.25">
      <c r="A85" t="s">
        <v>181</v>
      </c>
      <c r="B85" t="s">
        <v>553</v>
      </c>
      <c r="C85" t="s">
        <v>614</v>
      </c>
      <c r="D85" t="s">
        <v>852</v>
      </c>
      <c r="E85" s="1">
        <v>45077</v>
      </c>
      <c r="F85" s="20">
        <v>0.66666666666666663</v>
      </c>
      <c r="G85" t="s">
        <v>632</v>
      </c>
      <c r="H85" t="s">
        <v>630</v>
      </c>
      <c r="I85" t="str">
        <f t="shared" si="2"/>
        <v>May</v>
      </c>
      <c r="J85">
        <f>HOUR(Appointment[[#This Row],[appointment_time]])</f>
        <v>16</v>
      </c>
    </row>
    <row r="86" spans="1:10" x14ac:dyDescent="0.25">
      <c r="A86" t="s">
        <v>183</v>
      </c>
      <c r="B86" t="s">
        <v>518</v>
      </c>
      <c r="C86" t="s">
        <v>599</v>
      </c>
      <c r="D86" t="s">
        <v>858</v>
      </c>
      <c r="E86" s="1">
        <v>44975</v>
      </c>
      <c r="F86" s="20">
        <v>0.67708333333333337</v>
      </c>
      <c r="G86" t="s">
        <v>636</v>
      </c>
      <c r="H86" t="s">
        <v>633</v>
      </c>
      <c r="I86" t="str">
        <f t="shared" si="2"/>
        <v>February</v>
      </c>
      <c r="J86">
        <f>HOUR(Appointment[[#This Row],[appointment_time]])</f>
        <v>16</v>
      </c>
    </row>
    <row r="87" spans="1:10" x14ac:dyDescent="0.25">
      <c r="A87" t="s">
        <v>185</v>
      </c>
      <c r="B87" t="s">
        <v>495</v>
      </c>
      <c r="C87" t="s">
        <v>603</v>
      </c>
      <c r="D87" t="s">
        <v>856</v>
      </c>
      <c r="E87" s="1">
        <v>45228</v>
      </c>
      <c r="F87" s="20">
        <v>0.45833333333333331</v>
      </c>
      <c r="G87" t="s">
        <v>632</v>
      </c>
      <c r="H87" t="s">
        <v>633</v>
      </c>
      <c r="I87" t="str">
        <f t="shared" si="2"/>
        <v>October</v>
      </c>
      <c r="J87">
        <f>HOUR(Appointment[[#This Row],[appointment_time]])</f>
        <v>11</v>
      </c>
    </row>
    <row r="88" spans="1:10" x14ac:dyDescent="0.25">
      <c r="A88" t="s">
        <v>187</v>
      </c>
      <c r="B88" t="s">
        <v>528</v>
      </c>
      <c r="C88" t="s">
        <v>599</v>
      </c>
      <c r="D88" t="s">
        <v>858</v>
      </c>
      <c r="E88" s="1">
        <v>45218</v>
      </c>
      <c r="F88" s="20">
        <v>0.51041666666666663</v>
      </c>
      <c r="G88" t="s">
        <v>636</v>
      </c>
      <c r="H88" t="s">
        <v>633</v>
      </c>
      <c r="I88" t="str">
        <f t="shared" si="2"/>
        <v>October</v>
      </c>
      <c r="J88">
        <f>HOUR(Appointment[[#This Row],[appointment_time]])</f>
        <v>12</v>
      </c>
    </row>
    <row r="89" spans="1:10" x14ac:dyDescent="0.25">
      <c r="A89" t="s">
        <v>189</v>
      </c>
      <c r="B89" t="s">
        <v>466</v>
      </c>
      <c r="C89" t="s">
        <v>612</v>
      </c>
      <c r="D89" t="s">
        <v>859</v>
      </c>
      <c r="E89" s="1">
        <v>45048</v>
      </c>
      <c r="F89" s="20">
        <v>0.6875</v>
      </c>
      <c r="G89" t="s">
        <v>635</v>
      </c>
      <c r="H89" t="s">
        <v>637</v>
      </c>
      <c r="I89" t="str">
        <f t="shared" si="2"/>
        <v>May</v>
      </c>
      <c r="J89">
        <f>HOUR(Appointment[[#This Row],[appointment_time]])</f>
        <v>16</v>
      </c>
    </row>
    <row r="90" spans="1:10" x14ac:dyDescent="0.25">
      <c r="A90" t="s">
        <v>191</v>
      </c>
      <c r="B90" t="s">
        <v>537</v>
      </c>
      <c r="C90" t="s">
        <v>623</v>
      </c>
      <c r="D90" t="s">
        <v>855</v>
      </c>
      <c r="E90" s="1">
        <v>44971</v>
      </c>
      <c r="F90" s="20">
        <v>0.45833333333333331</v>
      </c>
      <c r="G90" t="s">
        <v>632</v>
      </c>
      <c r="H90" t="s">
        <v>637</v>
      </c>
      <c r="I90" t="str">
        <f t="shared" si="2"/>
        <v>February</v>
      </c>
      <c r="J90">
        <f>HOUR(Appointment[[#This Row],[appointment_time]])</f>
        <v>11</v>
      </c>
    </row>
    <row r="91" spans="1:10" x14ac:dyDescent="0.25">
      <c r="A91" t="s">
        <v>193</v>
      </c>
      <c r="B91" t="s">
        <v>528</v>
      </c>
      <c r="C91" t="s">
        <v>621</v>
      </c>
      <c r="D91" t="s">
        <v>850</v>
      </c>
      <c r="E91" s="1">
        <v>45078</v>
      </c>
      <c r="F91" s="20">
        <v>0.72916666666666663</v>
      </c>
      <c r="G91" t="s">
        <v>634</v>
      </c>
      <c r="H91" t="s">
        <v>631</v>
      </c>
      <c r="I91" t="str">
        <f t="shared" si="2"/>
        <v>June</v>
      </c>
      <c r="J91">
        <f>HOUR(Appointment[[#This Row],[appointment_time]])</f>
        <v>17</v>
      </c>
    </row>
    <row r="92" spans="1:10" x14ac:dyDescent="0.25">
      <c r="A92" t="s">
        <v>195</v>
      </c>
      <c r="B92" t="s">
        <v>474</v>
      </c>
      <c r="C92" t="s">
        <v>614</v>
      </c>
      <c r="D92" t="s">
        <v>852</v>
      </c>
      <c r="E92" s="1">
        <v>45088</v>
      </c>
      <c r="F92" s="20">
        <v>0.55208333333333337</v>
      </c>
      <c r="G92" t="s">
        <v>634</v>
      </c>
      <c r="H92" t="s">
        <v>633</v>
      </c>
      <c r="I92" t="str">
        <f t="shared" si="2"/>
        <v>June</v>
      </c>
      <c r="J92">
        <f>HOUR(Appointment[[#This Row],[appointment_time]])</f>
        <v>13</v>
      </c>
    </row>
    <row r="93" spans="1:10" x14ac:dyDescent="0.25">
      <c r="A93" t="s">
        <v>197</v>
      </c>
      <c r="B93" t="s">
        <v>528</v>
      </c>
      <c r="C93" t="s">
        <v>599</v>
      </c>
      <c r="D93" t="s">
        <v>858</v>
      </c>
      <c r="E93" s="1">
        <v>44956</v>
      </c>
      <c r="F93" s="20">
        <v>0.59375</v>
      </c>
      <c r="G93" t="s">
        <v>629</v>
      </c>
      <c r="H93" t="s">
        <v>630</v>
      </c>
      <c r="I93" t="str">
        <f t="shared" si="2"/>
        <v>January</v>
      </c>
      <c r="J93">
        <f>HOUR(Appointment[[#This Row],[appointment_time]])</f>
        <v>14</v>
      </c>
    </row>
    <row r="94" spans="1:10" x14ac:dyDescent="0.25">
      <c r="A94" t="s">
        <v>199</v>
      </c>
      <c r="B94" t="s">
        <v>550</v>
      </c>
      <c r="C94" t="s">
        <v>599</v>
      </c>
      <c r="D94" t="s">
        <v>858</v>
      </c>
      <c r="E94" s="1">
        <v>45025</v>
      </c>
      <c r="F94" s="20">
        <v>0.39583333333333331</v>
      </c>
      <c r="G94" t="s">
        <v>636</v>
      </c>
      <c r="H94" t="s">
        <v>637</v>
      </c>
      <c r="I94" t="str">
        <f t="shared" si="2"/>
        <v>April</v>
      </c>
      <c r="J94">
        <f>HOUR(Appointment[[#This Row],[appointment_time]])</f>
        <v>9</v>
      </c>
    </row>
    <row r="95" spans="1:10" x14ac:dyDescent="0.25">
      <c r="A95" t="s">
        <v>201</v>
      </c>
      <c r="B95" t="s">
        <v>568</v>
      </c>
      <c r="C95" t="s">
        <v>603</v>
      </c>
      <c r="D95" t="s">
        <v>856</v>
      </c>
      <c r="E95" s="1">
        <v>45024</v>
      </c>
      <c r="F95" s="20">
        <v>0.36458333333333331</v>
      </c>
      <c r="G95" t="s">
        <v>632</v>
      </c>
      <c r="H95" t="s">
        <v>633</v>
      </c>
      <c r="I95" t="str">
        <f t="shared" si="2"/>
        <v>April</v>
      </c>
      <c r="J95">
        <f>HOUR(Appointment[[#This Row],[appointment_time]])</f>
        <v>8</v>
      </c>
    </row>
    <row r="96" spans="1:10" x14ac:dyDescent="0.25">
      <c r="A96" t="s">
        <v>203</v>
      </c>
      <c r="B96" t="s">
        <v>462</v>
      </c>
      <c r="C96" t="s">
        <v>621</v>
      </c>
      <c r="D96" t="s">
        <v>850</v>
      </c>
      <c r="E96" s="1">
        <v>45055</v>
      </c>
      <c r="F96" s="20">
        <v>0.42708333333333331</v>
      </c>
      <c r="G96" t="s">
        <v>629</v>
      </c>
      <c r="H96" t="s">
        <v>633</v>
      </c>
      <c r="I96" t="str">
        <f t="shared" si="2"/>
        <v>May</v>
      </c>
      <c r="J96">
        <f>HOUR(Appointment[[#This Row],[appointment_time]])</f>
        <v>10</v>
      </c>
    </row>
    <row r="97" spans="1:10" x14ac:dyDescent="0.25">
      <c r="A97" t="s">
        <v>205</v>
      </c>
      <c r="B97" t="s">
        <v>446</v>
      </c>
      <c r="C97" t="s">
        <v>607</v>
      </c>
      <c r="D97" t="s">
        <v>853</v>
      </c>
      <c r="E97" s="1">
        <v>45114</v>
      </c>
      <c r="F97" s="20">
        <v>0.625</v>
      </c>
      <c r="G97" t="s">
        <v>632</v>
      </c>
      <c r="H97" t="s">
        <v>637</v>
      </c>
      <c r="I97" t="str">
        <f t="shared" si="2"/>
        <v>July</v>
      </c>
      <c r="J97">
        <f>HOUR(Appointment[[#This Row],[appointment_time]])</f>
        <v>15</v>
      </c>
    </row>
    <row r="98" spans="1:10" x14ac:dyDescent="0.25">
      <c r="A98" t="s">
        <v>207</v>
      </c>
      <c r="B98" t="s">
        <v>592</v>
      </c>
      <c r="C98" t="s">
        <v>599</v>
      </c>
      <c r="D98" t="s">
        <v>858</v>
      </c>
      <c r="E98" s="1">
        <v>45052</v>
      </c>
      <c r="F98" s="20">
        <v>0.61458333333333337</v>
      </c>
      <c r="G98" t="s">
        <v>636</v>
      </c>
      <c r="H98" t="s">
        <v>631</v>
      </c>
      <c r="I98" t="str">
        <f t="shared" ref="I98:I129" si="3">TEXT(E:E,"mmmm")</f>
        <v>May</v>
      </c>
      <c r="J98">
        <f>HOUR(Appointment[[#This Row],[appointment_time]])</f>
        <v>14</v>
      </c>
    </row>
    <row r="99" spans="1:10" x14ac:dyDescent="0.25">
      <c r="A99" t="s">
        <v>209</v>
      </c>
      <c r="B99" t="s">
        <v>579</v>
      </c>
      <c r="C99" t="s">
        <v>612</v>
      </c>
      <c r="D99" t="s">
        <v>859</v>
      </c>
      <c r="E99" s="1">
        <v>45002</v>
      </c>
      <c r="F99" s="20">
        <v>0.54166666666666663</v>
      </c>
      <c r="G99" t="s">
        <v>634</v>
      </c>
      <c r="H99" t="s">
        <v>637</v>
      </c>
      <c r="I99" t="str">
        <f t="shared" si="3"/>
        <v>March</v>
      </c>
      <c r="J99">
        <f>HOUR(Appointment[[#This Row],[appointment_time]])</f>
        <v>13</v>
      </c>
    </row>
    <row r="100" spans="1:10" x14ac:dyDescent="0.25">
      <c r="A100" t="s">
        <v>211</v>
      </c>
      <c r="B100" t="s">
        <v>478</v>
      </c>
      <c r="C100" t="s">
        <v>616</v>
      </c>
      <c r="D100" t="s">
        <v>854</v>
      </c>
      <c r="E100" s="1">
        <v>45111</v>
      </c>
      <c r="F100" s="20">
        <v>0.625</v>
      </c>
      <c r="G100" t="s">
        <v>635</v>
      </c>
      <c r="H100" t="s">
        <v>637</v>
      </c>
      <c r="I100" t="str">
        <f t="shared" si="3"/>
        <v>July</v>
      </c>
      <c r="J100">
        <f>HOUR(Appointment[[#This Row],[appointment_time]])</f>
        <v>15</v>
      </c>
    </row>
    <row r="101" spans="1:10" x14ac:dyDescent="0.25">
      <c r="A101" t="s">
        <v>213</v>
      </c>
      <c r="B101" t="s">
        <v>537</v>
      </c>
      <c r="C101" t="s">
        <v>614</v>
      </c>
      <c r="D101" t="s">
        <v>852</v>
      </c>
      <c r="E101" s="1">
        <v>44987</v>
      </c>
      <c r="F101" s="20">
        <v>0.33333333333333331</v>
      </c>
      <c r="G101" t="s">
        <v>634</v>
      </c>
      <c r="H101" t="s">
        <v>630</v>
      </c>
      <c r="I101" t="str">
        <f t="shared" si="3"/>
        <v>March</v>
      </c>
      <c r="J101">
        <f>HOUR(Appointment[[#This Row],[appointment_time]])</f>
        <v>8</v>
      </c>
    </row>
    <row r="102" spans="1:10" x14ac:dyDescent="0.25">
      <c r="A102" t="s">
        <v>215</v>
      </c>
      <c r="B102" t="s">
        <v>555</v>
      </c>
      <c r="C102" t="s">
        <v>599</v>
      </c>
      <c r="D102" t="s">
        <v>858</v>
      </c>
      <c r="E102" s="1">
        <v>45190</v>
      </c>
      <c r="F102" s="20">
        <v>0.55208333333333337</v>
      </c>
      <c r="G102" t="s">
        <v>629</v>
      </c>
      <c r="H102" t="s">
        <v>630</v>
      </c>
      <c r="I102" t="str">
        <f t="shared" si="3"/>
        <v>September</v>
      </c>
      <c r="J102">
        <f>HOUR(Appointment[[#This Row],[appointment_time]])</f>
        <v>13</v>
      </c>
    </row>
    <row r="103" spans="1:10" x14ac:dyDescent="0.25">
      <c r="A103" t="s">
        <v>217</v>
      </c>
      <c r="B103" t="s">
        <v>524</v>
      </c>
      <c r="C103" t="s">
        <v>612</v>
      </c>
      <c r="D103" t="s">
        <v>859</v>
      </c>
      <c r="E103" s="1">
        <v>45224</v>
      </c>
      <c r="F103" s="20">
        <v>0.375</v>
      </c>
      <c r="G103" t="s">
        <v>635</v>
      </c>
      <c r="H103" t="s">
        <v>631</v>
      </c>
      <c r="I103" t="str">
        <f t="shared" si="3"/>
        <v>October</v>
      </c>
      <c r="J103">
        <f>HOUR(Appointment[[#This Row],[appointment_time]])</f>
        <v>9</v>
      </c>
    </row>
    <row r="104" spans="1:10" x14ac:dyDescent="0.25">
      <c r="A104" t="s">
        <v>219</v>
      </c>
      <c r="B104" t="s">
        <v>510</v>
      </c>
      <c r="C104" t="s">
        <v>612</v>
      </c>
      <c r="D104" t="s">
        <v>859</v>
      </c>
      <c r="E104" s="1">
        <v>44950</v>
      </c>
      <c r="F104" s="20">
        <v>0.35416666666666669</v>
      </c>
      <c r="G104" t="s">
        <v>629</v>
      </c>
      <c r="H104" t="s">
        <v>633</v>
      </c>
      <c r="I104" t="str">
        <f t="shared" si="3"/>
        <v>January</v>
      </c>
      <c r="J104">
        <f>HOUR(Appointment[[#This Row],[appointment_time]])</f>
        <v>8</v>
      </c>
    </row>
    <row r="105" spans="1:10" x14ac:dyDescent="0.25">
      <c r="A105" t="s">
        <v>221</v>
      </c>
      <c r="B105" t="s">
        <v>555</v>
      </c>
      <c r="C105" t="s">
        <v>614</v>
      </c>
      <c r="D105" t="s">
        <v>852</v>
      </c>
      <c r="E105" s="1">
        <v>45034</v>
      </c>
      <c r="F105" s="20">
        <v>0.36458333333333331</v>
      </c>
      <c r="G105" t="s">
        <v>636</v>
      </c>
      <c r="H105" t="s">
        <v>637</v>
      </c>
      <c r="I105" t="str">
        <f t="shared" si="3"/>
        <v>April</v>
      </c>
      <c r="J105">
        <f>HOUR(Appointment[[#This Row],[appointment_time]])</f>
        <v>8</v>
      </c>
    </row>
    <row r="106" spans="1:10" x14ac:dyDescent="0.25">
      <c r="A106" t="s">
        <v>223</v>
      </c>
      <c r="B106" t="s">
        <v>474</v>
      </c>
      <c r="C106" t="s">
        <v>607</v>
      </c>
      <c r="D106" t="s">
        <v>853</v>
      </c>
      <c r="E106" s="1">
        <v>45152</v>
      </c>
      <c r="F106" s="20">
        <v>0.66666666666666663</v>
      </c>
      <c r="G106" t="s">
        <v>635</v>
      </c>
      <c r="H106" t="s">
        <v>631</v>
      </c>
      <c r="I106" t="str">
        <f t="shared" si="3"/>
        <v>August</v>
      </c>
      <c r="J106">
        <f>HOUR(Appointment[[#This Row],[appointment_time]])</f>
        <v>16</v>
      </c>
    </row>
    <row r="107" spans="1:10" x14ac:dyDescent="0.25">
      <c r="A107" t="s">
        <v>225</v>
      </c>
      <c r="B107" t="s">
        <v>557</v>
      </c>
      <c r="C107" t="s">
        <v>612</v>
      </c>
      <c r="D107" t="s">
        <v>859</v>
      </c>
      <c r="E107" s="1">
        <v>45228</v>
      </c>
      <c r="F107" s="20">
        <v>0.46875</v>
      </c>
      <c r="G107" t="s">
        <v>629</v>
      </c>
      <c r="H107" t="s">
        <v>630</v>
      </c>
      <c r="I107" t="str">
        <f t="shared" si="3"/>
        <v>October</v>
      </c>
      <c r="J107">
        <f>HOUR(Appointment[[#This Row],[appointment_time]])</f>
        <v>11</v>
      </c>
    </row>
    <row r="108" spans="1:10" x14ac:dyDescent="0.25">
      <c r="A108" t="s">
        <v>227</v>
      </c>
      <c r="B108" t="s">
        <v>471</v>
      </c>
      <c r="C108" t="s">
        <v>616</v>
      </c>
      <c r="D108" t="s">
        <v>854</v>
      </c>
      <c r="E108" s="1">
        <v>45033</v>
      </c>
      <c r="F108" s="20">
        <v>0.57291666666666663</v>
      </c>
      <c r="G108" t="s">
        <v>636</v>
      </c>
      <c r="H108" t="s">
        <v>637</v>
      </c>
      <c r="I108" t="str">
        <f t="shared" si="3"/>
        <v>April</v>
      </c>
      <c r="J108">
        <f>HOUR(Appointment[[#This Row],[appointment_time]])</f>
        <v>13</v>
      </c>
    </row>
    <row r="109" spans="1:10" x14ac:dyDescent="0.25">
      <c r="A109" t="s">
        <v>229</v>
      </c>
      <c r="B109" t="s">
        <v>521</v>
      </c>
      <c r="C109" t="s">
        <v>612</v>
      </c>
      <c r="D109" t="s">
        <v>859</v>
      </c>
      <c r="E109" s="1">
        <v>45037</v>
      </c>
      <c r="F109" s="20">
        <v>0.625</v>
      </c>
      <c r="G109" t="s">
        <v>634</v>
      </c>
      <c r="H109" t="s">
        <v>633</v>
      </c>
      <c r="I109" t="str">
        <f t="shared" si="3"/>
        <v>April</v>
      </c>
      <c r="J109">
        <f>HOUR(Appointment[[#This Row],[appointment_time]])</f>
        <v>15</v>
      </c>
    </row>
    <row r="110" spans="1:10" x14ac:dyDescent="0.25">
      <c r="A110" t="s">
        <v>231</v>
      </c>
      <c r="B110" t="s">
        <v>553</v>
      </c>
      <c r="C110" t="s">
        <v>612</v>
      </c>
      <c r="D110" t="s">
        <v>859</v>
      </c>
      <c r="E110" s="1">
        <v>45136</v>
      </c>
      <c r="F110" s="20">
        <v>0.58333333333333337</v>
      </c>
      <c r="G110" t="s">
        <v>636</v>
      </c>
      <c r="H110" t="s">
        <v>630</v>
      </c>
      <c r="I110" t="str">
        <f t="shared" si="3"/>
        <v>July</v>
      </c>
      <c r="J110">
        <f>HOUR(Appointment[[#This Row],[appointment_time]])</f>
        <v>14</v>
      </c>
    </row>
    <row r="111" spans="1:10" x14ac:dyDescent="0.25">
      <c r="A111" t="s">
        <v>233</v>
      </c>
      <c r="B111" t="s">
        <v>589</v>
      </c>
      <c r="C111" t="s">
        <v>612</v>
      </c>
      <c r="D111" t="s">
        <v>859</v>
      </c>
      <c r="E111" s="1">
        <v>45126</v>
      </c>
      <c r="F111" s="20">
        <v>0.60416666666666663</v>
      </c>
      <c r="G111" t="s">
        <v>632</v>
      </c>
      <c r="H111" t="s">
        <v>630</v>
      </c>
      <c r="I111" t="str">
        <f t="shared" si="3"/>
        <v>July</v>
      </c>
      <c r="J111">
        <f>HOUR(Appointment[[#This Row],[appointment_time]])</f>
        <v>14</v>
      </c>
    </row>
    <row r="112" spans="1:10" x14ac:dyDescent="0.25">
      <c r="A112" t="s">
        <v>235</v>
      </c>
      <c r="B112" t="s">
        <v>553</v>
      </c>
      <c r="C112" t="s">
        <v>623</v>
      </c>
      <c r="D112" t="s">
        <v>855</v>
      </c>
      <c r="E112" s="1">
        <v>45068</v>
      </c>
      <c r="F112" s="20">
        <v>0.64583333333333337</v>
      </c>
      <c r="G112" t="s">
        <v>636</v>
      </c>
      <c r="H112" t="s">
        <v>630</v>
      </c>
      <c r="I112" t="str">
        <f t="shared" si="3"/>
        <v>May</v>
      </c>
      <c r="J112">
        <f>HOUR(Appointment[[#This Row],[appointment_time]])</f>
        <v>15</v>
      </c>
    </row>
    <row r="113" spans="1:10" x14ac:dyDescent="0.25">
      <c r="A113" t="s">
        <v>237</v>
      </c>
      <c r="B113" t="s">
        <v>586</v>
      </c>
      <c r="C113" t="s">
        <v>623</v>
      </c>
      <c r="D113" t="s">
        <v>855</v>
      </c>
      <c r="E113" s="1">
        <v>44937</v>
      </c>
      <c r="F113" s="20">
        <v>0.33333333333333331</v>
      </c>
      <c r="G113" t="s">
        <v>636</v>
      </c>
      <c r="H113" t="s">
        <v>631</v>
      </c>
      <c r="I113" t="str">
        <f t="shared" si="3"/>
        <v>January</v>
      </c>
      <c r="J113">
        <f>HOUR(Appointment[[#This Row],[appointment_time]])</f>
        <v>8</v>
      </c>
    </row>
    <row r="114" spans="1:10" x14ac:dyDescent="0.25">
      <c r="A114" t="s">
        <v>239</v>
      </c>
      <c r="B114" t="s">
        <v>555</v>
      </c>
      <c r="C114" t="s">
        <v>607</v>
      </c>
      <c r="D114" t="s">
        <v>853</v>
      </c>
      <c r="E114" s="1">
        <v>45254</v>
      </c>
      <c r="F114" s="20">
        <v>0.64583333333333337</v>
      </c>
      <c r="G114" t="s">
        <v>632</v>
      </c>
      <c r="H114" t="s">
        <v>633</v>
      </c>
      <c r="I114" t="str">
        <f t="shared" si="3"/>
        <v>November</v>
      </c>
      <c r="J114">
        <f>HOUR(Appointment[[#This Row],[appointment_time]])</f>
        <v>15</v>
      </c>
    </row>
    <row r="115" spans="1:10" x14ac:dyDescent="0.25">
      <c r="A115" t="s">
        <v>241</v>
      </c>
      <c r="B115" t="s">
        <v>499</v>
      </c>
      <c r="C115" t="s">
        <v>599</v>
      </c>
      <c r="D115" t="s">
        <v>858</v>
      </c>
      <c r="E115" s="1">
        <v>45146</v>
      </c>
      <c r="F115" s="20">
        <v>0.375</v>
      </c>
      <c r="G115" t="s">
        <v>629</v>
      </c>
      <c r="H115" t="s">
        <v>637</v>
      </c>
      <c r="I115" t="str">
        <f t="shared" si="3"/>
        <v>August</v>
      </c>
      <c r="J115">
        <f>HOUR(Appointment[[#This Row],[appointment_time]])</f>
        <v>9</v>
      </c>
    </row>
    <row r="116" spans="1:10" x14ac:dyDescent="0.25">
      <c r="A116" t="s">
        <v>243</v>
      </c>
      <c r="B116" t="s">
        <v>589</v>
      </c>
      <c r="C116" t="s">
        <v>612</v>
      </c>
      <c r="D116" t="s">
        <v>859</v>
      </c>
      <c r="E116" s="1">
        <v>45224</v>
      </c>
      <c r="F116" s="20">
        <v>0.4375</v>
      </c>
      <c r="G116" t="s">
        <v>629</v>
      </c>
      <c r="H116" t="s">
        <v>631</v>
      </c>
      <c r="I116" t="str">
        <f t="shared" si="3"/>
        <v>October</v>
      </c>
      <c r="J116">
        <f>HOUR(Appointment[[#This Row],[appointment_time]])</f>
        <v>10</v>
      </c>
    </row>
    <row r="117" spans="1:10" x14ac:dyDescent="0.25">
      <c r="A117" t="s">
        <v>245</v>
      </c>
      <c r="B117" t="s">
        <v>562</v>
      </c>
      <c r="C117" t="s">
        <v>621</v>
      </c>
      <c r="D117" t="s">
        <v>850</v>
      </c>
      <c r="E117" s="1">
        <v>45114</v>
      </c>
      <c r="F117" s="20">
        <v>0.38541666666666669</v>
      </c>
      <c r="G117" t="s">
        <v>636</v>
      </c>
      <c r="H117" t="s">
        <v>631</v>
      </c>
      <c r="I117" t="str">
        <f t="shared" si="3"/>
        <v>July</v>
      </c>
      <c r="J117">
        <f>HOUR(Appointment[[#This Row],[appointment_time]])</f>
        <v>9</v>
      </c>
    </row>
    <row r="118" spans="1:10" x14ac:dyDescent="0.25">
      <c r="A118" t="s">
        <v>247</v>
      </c>
      <c r="B118" t="s">
        <v>546</v>
      </c>
      <c r="C118" t="s">
        <v>599</v>
      </c>
      <c r="D118" t="s">
        <v>858</v>
      </c>
      <c r="E118" s="1">
        <v>45097</v>
      </c>
      <c r="F118" s="20">
        <v>0.57291666666666663</v>
      </c>
      <c r="G118" t="s">
        <v>632</v>
      </c>
      <c r="H118" t="s">
        <v>631</v>
      </c>
      <c r="I118" t="str">
        <f t="shared" si="3"/>
        <v>June</v>
      </c>
      <c r="J118">
        <f>HOUR(Appointment[[#This Row],[appointment_time]])</f>
        <v>13</v>
      </c>
    </row>
    <row r="119" spans="1:10" x14ac:dyDescent="0.25">
      <c r="A119" t="s">
        <v>249</v>
      </c>
      <c r="B119" t="s">
        <v>521</v>
      </c>
      <c r="C119" t="s">
        <v>607</v>
      </c>
      <c r="D119" t="s">
        <v>853</v>
      </c>
      <c r="E119" s="1">
        <v>45147</v>
      </c>
      <c r="F119" s="20">
        <v>0.34375</v>
      </c>
      <c r="G119" t="s">
        <v>632</v>
      </c>
      <c r="H119" t="s">
        <v>630</v>
      </c>
      <c r="I119" t="str">
        <f t="shared" si="3"/>
        <v>August</v>
      </c>
      <c r="J119">
        <f>HOUR(Appointment[[#This Row],[appointment_time]])</f>
        <v>8</v>
      </c>
    </row>
    <row r="120" spans="1:10" x14ac:dyDescent="0.25">
      <c r="A120" t="s">
        <v>251</v>
      </c>
      <c r="B120" t="s">
        <v>518</v>
      </c>
      <c r="C120" t="s">
        <v>609</v>
      </c>
      <c r="D120" t="s">
        <v>851</v>
      </c>
      <c r="E120" s="1">
        <v>45278</v>
      </c>
      <c r="F120" s="20">
        <v>0.5625</v>
      </c>
      <c r="G120" t="s">
        <v>634</v>
      </c>
      <c r="H120" t="s">
        <v>633</v>
      </c>
      <c r="I120" t="str">
        <f t="shared" si="3"/>
        <v>December</v>
      </c>
      <c r="J120">
        <f>HOUR(Appointment[[#This Row],[appointment_time]])</f>
        <v>13</v>
      </c>
    </row>
    <row r="121" spans="1:10" x14ac:dyDescent="0.25">
      <c r="A121" t="s">
        <v>253</v>
      </c>
      <c r="B121" t="s">
        <v>546</v>
      </c>
      <c r="C121" t="s">
        <v>599</v>
      </c>
      <c r="D121" t="s">
        <v>858</v>
      </c>
      <c r="E121" s="1">
        <v>45268</v>
      </c>
      <c r="F121" s="20">
        <v>0.45833333333333331</v>
      </c>
      <c r="G121" t="s">
        <v>629</v>
      </c>
      <c r="H121" t="s">
        <v>631</v>
      </c>
      <c r="I121" t="str">
        <f t="shared" si="3"/>
        <v>December</v>
      </c>
      <c r="J121">
        <f>HOUR(Appointment[[#This Row],[appointment_time]])</f>
        <v>11</v>
      </c>
    </row>
    <row r="122" spans="1:10" x14ac:dyDescent="0.25">
      <c r="A122" t="s">
        <v>255</v>
      </c>
      <c r="B122" t="s">
        <v>557</v>
      </c>
      <c r="C122" t="s">
        <v>599</v>
      </c>
      <c r="D122" t="s">
        <v>858</v>
      </c>
      <c r="E122" s="1">
        <v>45023</v>
      </c>
      <c r="F122" s="20">
        <v>0.625</v>
      </c>
      <c r="G122" t="s">
        <v>635</v>
      </c>
      <c r="H122" t="s">
        <v>637</v>
      </c>
      <c r="I122" t="str">
        <f t="shared" si="3"/>
        <v>April</v>
      </c>
      <c r="J122">
        <f>HOUR(Appointment[[#This Row],[appointment_time]])</f>
        <v>15</v>
      </c>
    </row>
    <row r="123" spans="1:10" x14ac:dyDescent="0.25">
      <c r="A123" t="s">
        <v>257</v>
      </c>
      <c r="B123" t="s">
        <v>481</v>
      </c>
      <c r="C123" t="s">
        <v>619</v>
      </c>
      <c r="D123" t="s">
        <v>857</v>
      </c>
      <c r="E123" s="1">
        <v>45118</v>
      </c>
      <c r="F123" s="20">
        <v>0.60416666666666663</v>
      </c>
      <c r="G123" t="s">
        <v>629</v>
      </c>
      <c r="H123" t="s">
        <v>633</v>
      </c>
      <c r="I123" t="str">
        <f t="shared" si="3"/>
        <v>July</v>
      </c>
      <c r="J123">
        <f>HOUR(Appointment[[#This Row],[appointment_time]])</f>
        <v>14</v>
      </c>
    </row>
    <row r="124" spans="1:10" x14ac:dyDescent="0.25">
      <c r="A124" t="s">
        <v>259</v>
      </c>
      <c r="B124" t="s">
        <v>589</v>
      </c>
      <c r="C124" t="s">
        <v>603</v>
      </c>
      <c r="D124" t="s">
        <v>856</v>
      </c>
      <c r="E124" s="1">
        <v>44985</v>
      </c>
      <c r="F124" s="20">
        <v>0.44791666666666669</v>
      </c>
      <c r="G124" t="s">
        <v>629</v>
      </c>
      <c r="H124" t="s">
        <v>637</v>
      </c>
      <c r="I124" t="str">
        <f t="shared" si="3"/>
        <v>February</v>
      </c>
      <c r="J124">
        <f>HOUR(Appointment[[#This Row],[appointment_time]])</f>
        <v>10</v>
      </c>
    </row>
    <row r="125" spans="1:10" x14ac:dyDescent="0.25">
      <c r="A125" t="s">
        <v>261</v>
      </c>
      <c r="B125" t="s">
        <v>483</v>
      </c>
      <c r="C125" t="s">
        <v>619</v>
      </c>
      <c r="D125" t="s">
        <v>857</v>
      </c>
      <c r="E125" s="1">
        <v>45001</v>
      </c>
      <c r="F125" s="20">
        <v>0.71875</v>
      </c>
      <c r="G125" t="s">
        <v>634</v>
      </c>
      <c r="H125" t="s">
        <v>633</v>
      </c>
      <c r="I125" t="str">
        <f t="shared" si="3"/>
        <v>March</v>
      </c>
      <c r="J125">
        <f>HOUR(Appointment[[#This Row],[appointment_time]])</f>
        <v>17</v>
      </c>
    </row>
    <row r="126" spans="1:10" x14ac:dyDescent="0.25">
      <c r="A126" t="s">
        <v>263</v>
      </c>
      <c r="B126" t="s">
        <v>518</v>
      </c>
      <c r="C126" t="s">
        <v>616</v>
      </c>
      <c r="D126" t="s">
        <v>854</v>
      </c>
      <c r="E126" s="1">
        <v>44975</v>
      </c>
      <c r="F126" s="20">
        <v>0.42708333333333331</v>
      </c>
      <c r="G126" t="s">
        <v>635</v>
      </c>
      <c r="H126" t="s">
        <v>637</v>
      </c>
      <c r="I126" t="str">
        <f t="shared" si="3"/>
        <v>February</v>
      </c>
      <c r="J126">
        <f>HOUR(Appointment[[#This Row],[appointment_time]])</f>
        <v>10</v>
      </c>
    </row>
    <row r="127" spans="1:10" x14ac:dyDescent="0.25">
      <c r="A127" t="s">
        <v>265</v>
      </c>
      <c r="B127" t="s">
        <v>524</v>
      </c>
      <c r="C127" t="s">
        <v>623</v>
      </c>
      <c r="D127" t="s">
        <v>855</v>
      </c>
      <c r="E127" s="1">
        <v>45232</v>
      </c>
      <c r="F127" s="20">
        <v>0.40625</v>
      </c>
      <c r="G127" t="s">
        <v>634</v>
      </c>
      <c r="H127" t="s">
        <v>630</v>
      </c>
      <c r="I127" t="str">
        <f t="shared" si="3"/>
        <v>November</v>
      </c>
      <c r="J127">
        <f>HOUR(Appointment[[#This Row],[appointment_time]])</f>
        <v>9</v>
      </c>
    </row>
    <row r="128" spans="1:10" x14ac:dyDescent="0.25">
      <c r="A128" t="s">
        <v>267</v>
      </c>
      <c r="B128" t="s">
        <v>553</v>
      </c>
      <c r="C128" t="s">
        <v>623</v>
      </c>
      <c r="D128" t="s">
        <v>855</v>
      </c>
      <c r="E128" s="1">
        <v>45243</v>
      </c>
      <c r="F128" s="20">
        <v>0.35416666666666669</v>
      </c>
      <c r="G128" t="s">
        <v>635</v>
      </c>
      <c r="H128" t="s">
        <v>631</v>
      </c>
      <c r="I128" t="str">
        <f t="shared" si="3"/>
        <v>November</v>
      </c>
      <c r="J128">
        <f>HOUR(Appointment[[#This Row],[appointment_time]])</f>
        <v>8</v>
      </c>
    </row>
    <row r="129" spans="1:10" x14ac:dyDescent="0.25">
      <c r="A129" t="s">
        <v>269</v>
      </c>
      <c r="B129" t="s">
        <v>568</v>
      </c>
      <c r="C129" t="s">
        <v>603</v>
      </c>
      <c r="D129" t="s">
        <v>856</v>
      </c>
      <c r="E129" s="1">
        <v>45031</v>
      </c>
      <c r="F129" s="20">
        <v>0.61458333333333337</v>
      </c>
      <c r="G129" t="s">
        <v>636</v>
      </c>
      <c r="H129" t="s">
        <v>637</v>
      </c>
      <c r="I129" t="str">
        <f t="shared" si="3"/>
        <v>April</v>
      </c>
      <c r="J129">
        <f>HOUR(Appointment[[#This Row],[appointment_time]])</f>
        <v>14</v>
      </c>
    </row>
    <row r="130" spans="1:10" x14ac:dyDescent="0.25">
      <c r="A130" t="s">
        <v>271</v>
      </c>
      <c r="B130" t="s">
        <v>540</v>
      </c>
      <c r="C130" t="s">
        <v>614</v>
      </c>
      <c r="D130" t="s">
        <v>852</v>
      </c>
      <c r="E130" s="1">
        <v>45163</v>
      </c>
      <c r="F130" s="20">
        <v>0.39583333333333331</v>
      </c>
      <c r="G130" t="s">
        <v>635</v>
      </c>
      <c r="H130" t="s">
        <v>633</v>
      </c>
      <c r="I130" t="str">
        <f t="shared" ref="I130:I161" si="4">TEXT(E:E,"mmmm")</f>
        <v>August</v>
      </c>
      <c r="J130">
        <f>HOUR(Appointment[[#This Row],[appointment_time]])</f>
        <v>9</v>
      </c>
    </row>
    <row r="131" spans="1:10" x14ac:dyDescent="0.25">
      <c r="A131" t="s">
        <v>273</v>
      </c>
      <c r="B131" t="s">
        <v>495</v>
      </c>
      <c r="C131" t="s">
        <v>614</v>
      </c>
      <c r="D131" t="s">
        <v>852</v>
      </c>
      <c r="E131" s="1">
        <v>44980</v>
      </c>
      <c r="F131" s="20">
        <v>0.625</v>
      </c>
      <c r="G131" t="s">
        <v>634</v>
      </c>
      <c r="H131" t="s">
        <v>631</v>
      </c>
      <c r="I131" t="str">
        <f t="shared" si="4"/>
        <v>February</v>
      </c>
      <c r="J131">
        <f>HOUR(Appointment[[#This Row],[appointment_time]])</f>
        <v>15</v>
      </c>
    </row>
    <row r="132" spans="1:10" x14ac:dyDescent="0.25">
      <c r="A132" t="s">
        <v>275</v>
      </c>
      <c r="B132" t="s">
        <v>589</v>
      </c>
      <c r="C132" t="s">
        <v>607</v>
      </c>
      <c r="D132" t="s">
        <v>853</v>
      </c>
      <c r="E132" s="1">
        <v>45057</v>
      </c>
      <c r="F132" s="20">
        <v>0.6875</v>
      </c>
      <c r="G132" t="s">
        <v>629</v>
      </c>
      <c r="H132" t="s">
        <v>631</v>
      </c>
      <c r="I132" t="str">
        <f t="shared" si="4"/>
        <v>May</v>
      </c>
      <c r="J132">
        <f>HOUR(Appointment[[#This Row],[appointment_time]])</f>
        <v>16</v>
      </c>
    </row>
    <row r="133" spans="1:10" x14ac:dyDescent="0.25">
      <c r="A133" t="s">
        <v>277</v>
      </c>
      <c r="B133" t="s">
        <v>506</v>
      </c>
      <c r="C133" t="s">
        <v>603</v>
      </c>
      <c r="D133" t="s">
        <v>856</v>
      </c>
      <c r="E133" s="1">
        <v>45133</v>
      </c>
      <c r="F133" s="20">
        <v>0.44791666666666669</v>
      </c>
      <c r="G133" t="s">
        <v>635</v>
      </c>
      <c r="H133" t="s">
        <v>633</v>
      </c>
      <c r="I133" t="str">
        <f t="shared" si="4"/>
        <v>July</v>
      </c>
      <c r="J133">
        <f>HOUR(Appointment[[#This Row],[appointment_time]])</f>
        <v>10</v>
      </c>
    </row>
    <row r="134" spans="1:10" x14ac:dyDescent="0.25">
      <c r="A134" t="s">
        <v>279</v>
      </c>
      <c r="B134" t="s">
        <v>586</v>
      </c>
      <c r="C134" t="s">
        <v>599</v>
      </c>
      <c r="D134" t="s">
        <v>858</v>
      </c>
      <c r="E134" s="1">
        <v>45008</v>
      </c>
      <c r="F134" s="20">
        <v>0.60416666666666663</v>
      </c>
      <c r="G134" t="s">
        <v>635</v>
      </c>
      <c r="H134" t="s">
        <v>637</v>
      </c>
      <c r="I134" t="str">
        <f t="shared" si="4"/>
        <v>March</v>
      </c>
      <c r="J134">
        <f>HOUR(Appointment[[#This Row],[appointment_time]])</f>
        <v>14</v>
      </c>
    </row>
    <row r="135" spans="1:10" x14ac:dyDescent="0.25">
      <c r="A135" t="s">
        <v>281</v>
      </c>
      <c r="B135" t="s">
        <v>524</v>
      </c>
      <c r="C135" t="s">
        <v>614</v>
      </c>
      <c r="D135" t="s">
        <v>852</v>
      </c>
      <c r="E135" s="1">
        <v>45216</v>
      </c>
      <c r="F135" s="20">
        <v>0.63541666666666663</v>
      </c>
      <c r="G135" t="s">
        <v>632</v>
      </c>
      <c r="H135" t="s">
        <v>630</v>
      </c>
      <c r="I135" t="str">
        <f t="shared" si="4"/>
        <v>October</v>
      </c>
      <c r="J135">
        <f>HOUR(Appointment[[#This Row],[appointment_time]])</f>
        <v>15</v>
      </c>
    </row>
    <row r="136" spans="1:10" x14ac:dyDescent="0.25">
      <c r="A136" t="s">
        <v>283</v>
      </c>
      <c r="B136" t="s">
        <v>513</v>
      </c>
      <c r="C136" t="s">
        <v>612</v>
      </c>
      <c r="D136" t="s">
        <v>859</v>
      </c>
      <c r="E136" s="1">
        <v>45178</v>
      </c>
      <c r="F136" s="20">
        <v>0.6875</v>
      </c>
      <c r="G136" t="s">
        <v>629</v>
      </c>
      <c r="H136" t="s">
        <v>630</v>
      </c>
      <c r="I136" t="str">
        <f t="shared" si="4"/>
        <v>September</v>
      </c>
      <c r="J136">
        <f>HOUR(Appointment[[#This Row],[appointment_time]])</f>
        <v>16</v>
      </c>
    </row>
    <row r="137" spans="1:10" x14ac:dyDescent="0.25">
      <c r="A137" t="s">
        <v>285</v>
      </c>
      <c r="B137" t="s">
        <v>483</v>
      </c>
      <c r="C137" t="s">
        <v>621</v>
      </c>
      <c r="D137" t="s">
        <v>850</v>
      </c>
      <c r="E137" s="1">
        <v>45059</v>
      </c>
      <c r="F137" s="20">
        <v>0.52083333333333337</v>
      </c>
      <c r="G137" t="s">
        <v>636</v>
      </c>
      <c r="H137" t="s">
        <v>637</v>
      </c>
      <c r="I137" t="str">
        <f t="shared" si="4"/>
        <v>May</v>
      </c>
      <c r="J137">
        <f>HOUR(Appointment[[#This Row],[appointment_time]])</f>
        <v>12</v>
      </c>
    </row>
    <row r="138" spans="1:10" x14ac:dyDescent="0.25">
      <c r="A138" t="s">
        <v>287</v>
      </c>
      <c r="B138" t="s">
        <v>502</v>
      </c>
      <c r="C138" t="s">
        <v>599</v>
      </c>
      <c r="D138" t="s">
        <v>858</v>
      </c>
      <c r="E138" s="1">
        <v>45224</v>
      </c>
      <c r="F138" s="20">
        <v>0.41666666666666669</v>
      </c>
      <c r="G138" t="s">
        <v>634</v>
      </c>
      <c r="H138" t="s">
        <v>631</v>
      </c>
      <c r="I138" t="str">
        <f t="shared" si="4"/>
        <v>October</v>
      </c>
      <c r="J138">
        <f>HOUR(Appointment[[#This Row],[appointment_time]])</f>
        <v>10</v>
      </c>
    </row>
    <row r="139" spans="1:10" x14ac:dyDescent="0.25">
      <c r="A139" t="s">
        <v>289</v>
      </c>
      <c r="B139" t="s">
        <v>589</v>
      </c>
      <c r="C139" t="s">
        <v>616</v>
      </c>
      <c r="D139" t="s">
        <v>854</v>
      </c>
      <c r="E139" s="1">
        <v>45286</v>
      </c>
      <c r="F139" s="20">
        <v>0.63541666666666663</v>
      </c>
      <c r="G139" t="s">
        <v>636</v>
      </c>
      <c r="H139" t="s">
        <v>631</v>
      </c>
      <c r="I139" t="str">
        <f t="shared" si="4"/>
        <v>December</v>
      </c>
      <c r="J139">
        <f>HOUR(Appointment[[#This Row],[appointment_time]])</f>
        <v>15</v>
      </c>
    </row>
    <row r="140" spans="1:10" x14ac:dyDescent="0.25">
      <c r="A140" t="s">
        <v>291</v>
      </c>
      <c r="B140" t="s">
        <v>555</v>
      </c>
      <c r="C140" t="s">
        <v>612</v>
      </c>
      <c r="D140" t="s">
        <v>859</v>
      </c>
      <c r="E140" s="1">
        <v>45209</v>
      </c>
      <c r="F140" s="20">
        <v>0.44791666666666669</v>
      </c>
      <c r="G140" t="s">
        <v>629</v>
      </c>
      <c r="H140" t="s">
        <v>631</v>
      </c>
      <c r="I140" t="str">
        <f t="shared" si="4"/>
        <v>October</v>
      </c>
      <c r="J140">
        <f>HOUR(Appointment[[#This Row],[appointment_time]])</f>
        <v>10</v>
      </c>
    </row>
    <row r="141" spans="1:10" x14ac:dyDescent="0.25">
      <c r="A141" t="s">
        <v>293</v>
      </c>
      <c r="B141" t="s">
        <v>481</v>
      </c>
      <c r="C141" t="s">
        <v>612</v>
      </c>
      <c r="D141" t="s">
        <v>859</v>
      </c>
      <c r="E141" s="1">
        <v>44962</v>
      </c>
      <c r="F141" s="20">
        <v>0.63541666666666663</v>
      </c>
      <c r="G141" t="s">
        <v>635</v>
      </c>
      <c r="H141" t="s">
        <v>631</v>
      </c>
      <c r="I141" t="str">
        <f t="shared" si="4"/>
        <v>February</v>
      </c>
      <c r="J141">
        <f>HOUR(Appointment[[#This Row],[appointment_time]])</f>
        <v>15</v>
      </c>
    </row>
    <row r="142" spans="1:10" x14ac:dyDescent="0.25">
      <c r="A142" t="s">
        <v>295</v>
      </c>
      <c r="B142" t="s">
        <v>568</v>
      </c>
      <c r="C142" t="s">
        <v>603</v>
      </c>
      <c r="D142" t="s">
        <v>856</v>
      </c>
      <c r="E142" s="1">
        <v>45092</v>
      </c>
      <c r="F142" s="20">
        <v>0.63541666666666663</v>
      </c>
      <c r="G142" t="s">
        <v>635</v>
      </c>
      <c r="H142" t="s">
        <v>637</v>
      </c>
      <c r="I142" t="str">
        <f t="shared" si="4"/>
        <v>June</v>
      </c>
      <c r="J142">
        <f>HOUR(Appointment[[#This Row],[appointment_time]])</f>
        <v>15</v>
      </c>
    </row>
    <row r="143" spans="1:10" x14ac:dyDescent="0.25">
      <c r="A143" t="s">
        <v>297</v>
      </c>
      <c r="B143" t="s">
        <v>502</v>
      </c>
      <c r="C143" t="s">
        <v>607</v>
      </c>
      <c r="D143" t="s">
        <v>853</v>
      </c>
      <c r="E143" s="1">
        <v>45231</v>
      </c>
      <c r="F143" s="20">
        <v>0.48958333333333331</v>
      </c>
      <c r="G143" t="s">
        <v>629</v>
      </c>
      <c r="H143" t="s">
        <v>631</v>
      </c>
      <c r="I143" t="str">
        <f t="shared" si="4"/>
        <v>November</v>
      </c>
      <c r="J143">
        <f>HOUR(Appointment[[#This Row],[appointment_time]])</f>
        <v>11</v>
      </c>
    </row>
    <row r="144" spans="1:10" x14ac:dyDescent="0.25">
      <c r="A144" t="s">
        <v>299</v>
      </c>
      <c r="B144" t="s">
        <v>481</v>
      </c>
      <c r="C144" t="s">
        <v>616</v>
      </c>
      <c r="D144" t="s">
        <v>854</v>
      </c>
      <c r="E144" s="1">
        <v>45190</v>
      </c>
      <c r="F144" s="20">
        <v>0.51041666666666663</v>
      </c>
      <c r="G144" t="s">
        <v>635</v>
      </c>
      <c r="H144" t="s">
        <v>633</v>
      </c>
      <c r="I144" t="str">
        <f t="shared" si="4"/>
        <v>September</v>
      </c>
      <c r="J144">
        <f>HOUR(Appointment[[#This Row],[appointment_time]])</f>
        <v>12</v>
      </c>
    </row>
    <row r="145" spans="1:10" x14ac:dyDescent="0.25">
      <c r="A145" t="s">
        <v>301</v>
      </c>
      <c r="B145" t="s">
        <v>471</v>
      </c>
      <c r="C145" t="s">
        <v>614</v>
      </c>
      <c r="D145" t="s">
        <v>852</v>
      </c>
      <c r="E145" s="1">
        <v>45154</v>
      </c>
      <c r="F145" s="20">
        <v>0.51041666666666663</v>
      </c>
      <c r="G145" t="s">
        <v>635</v>
      </c>
      <c r="H145" t="s">
        <v>631</v>
      </c>
      <c r="I145" t="str">
        <f t="shared" si="4"/>
        <v>August</v>
      </c>
      <c r="J145">
        <f>HOUR(Appointment[[#This Row],[appointment_time]])</f>
        <v>12</v>
      </c>
    </row>
    <row r="146" spans="1:10" x14ac:dyDescent="0.25">
      <c r="A146" t="s">
        <v>303</v>
      </c>
      <c r="B146" t="s">
        <v>462</v>
      </c>
      <c r="C146" t="s">
        <v>603</v>
      </c>
      <c r="D146" t="s">
        <v>856</v>
      </c>
      <c r="E146" s="1">
        <v>45241</v>
      </c>
      <c r="F146" s="20">
        <v>0.61458333333333337</v>
      </c>
      <c r="G146" t="s">
        <v>635</v>
      </c>
      <c r="H146" t="s">
        <v>630</v>
      </c>
      <c r="I146" t="str">
        <f t="shared" si="4"/>
        <v>November</v>
      </c>
      <c r="J146">
        <f>HOUR(Appointment[[#This Row],[appointment_time]])</f>
        <v>14</v>
      </c>
    </row>
    <row r="147" spans="1:10" x14ac:dyDescent="0.25">
      <c r="A147" t="s">
        <v>305</v>
      </c>
      <c r="B147" t="s">
        <v>534</v>
      </c>
      <c r="C147" t="s">
        <v>614</v>
      </c>
      <c r="D147" t="s">
        <v>852</v>
      </c>
      <c r="E147" s="1">
        <v>44931</v>
      </c>
      <c r="F147" s="20">
        <v>0.39583333333333331</v>
      </c>
      <c r="G147" t="s">
        <v>634</v>
      </c>
      <c r="H147" t="s">
        <v>631</v>
      </c>
      <c r="I147" t="str">
        <f t="shared" si="4"/>
        <v>January</v>
      </c>
      <c r="J147">
        <f>HOUR(Appointment[[#This Row],[appointment_time]])</f>
        <v>9</v>
      </c>
    </row>
    <row r="148" spans="1:10" x14ac:dyDescent="0.25">
      <c r="A148" t="s">
        <v>307</v>
      </c>
      <c r="B148" t="s">
        <v>486</v>
      </c>
      <c r="C148" t="s">
        <v>603</v>
      </c>
      <c r="D148" t="s">
        <v>856</v>
      </c>
      <c r="E148" s="1">
        <v>45243</v>
      </c>
      <c r="F148" s="20">
        <v>0.72916666666666663</v>
      </c>
      <c r="G148" t="s">
        <v>634</v>
      </c>
      <c r="H148" t="s">
        <v>637</v>
      </c>
      <c r="I148" t="str">
        <f t="shared" si="4"/>
        <v>November</v>
      </c>
      <c r="J148">
        <f>HOUR(Appointment[[#This Row],[appointment_time]])</f>
        <v>17</v>
      </c>
    </row>
    <row r="149" spans="1:10" x14ac:dyDescent="0.25">
      <c r="A149" t="s">
        <v>309</v>
      </c>
      <c r="B149" t="s">
        <v>543</v>
      </c>
      <c r="C149" t="s">
        <v>603</v>
      </c>
      <c r="D149" t="s">
        <v>856</v>
      </c>
      <c r="E149" s="1">
        <v>45266</v>
      </c>
      <c r="F149" s="20">
        <v>0.35416666666666669</v>
      </c>
      <c r="G149" t="s">
        <v>632</v>
      </c>
      <c r="H149" t="s">
        <v>630</v>
      </c>
      <c r="I149" t="str">
        <f t="shared" si="4"/>
        <v>December</v>
      </c>
      <c r="J149">
        <f>HOUR(Appointment[[#This Row],[appointment_time]])</f>
        <v>8</v>
      </c>
    </row>
    <row r="150" spans="1:10" x14ac:dyDescent="0.25">
      <c r="A150" t="s">
        <v>311</v>
      </c>
      <c r="B150" t="s">
        <v>502</v>
      </c>
      <c r="C150" t="s">
        <v>603</v>
      </c>
      <c r="D150" t="s">
        <v>856</v>
      </c>
      <c r="E150" s="1">
        <v>45133</v>
      </c>
      <c r="F150" s="20">
        <v>0.52083333333333337</v>
      </c>
      <c r="G150" t="s">
        <v>636</v>
      </c>
      <c r="H150" t="s">
        <v>637</v>
      </c>
      <c r="I150" t="str">
        <f t="shared" si="4"/>
        <v>July</v>
      </c>
      <c r="J150">
        <f>HOUR(Appointment[[#This Row],[appointment_time]])</f>
        <v>12</v>
      </c>
    </row>
    <row r="151" spans="1:10" x14ac:dyDescent="0.25">
      <c r="A151" t="s">
        <v>313</v>
      </c>
      <c r="B151" t="s">
        <v>584</v>
      </c>
      <c r="C151" t="s">
        <v>607</v>
      </c>
      <c r="D151" t="s">
        <v>853</v>
      </c>
      <c r="E151" s="1">
        <v>45154</v>
      </c>
      <c r="F151" s="20">
        <v>0.44791666666666669</v>
      </c>
      <c r="G151" t="s">
        <v>629</v>
      </c>
      <c r="H151" t="s">
        <v>637</v>
      </c>
      <c r="I151" t="str">
        <f t="shared" si="4"/>
        <v>August</v>
      </c>
      <c r="J151">
        <f>HOUR(Appointment[[#This Row],[appointment_time]])</f>
        <v>10</v>
      </c>
    </row>
    <row r="152" spans="1:10" x14ac:dyDescent="0.25">
      <c r="A152" t="s">
        <v>315</v>
      </c>
      <c r="B152" t="s">
        <v>493</v>
      </c>
      <c r="C152" t="s">
        <v>603</v>
      </c>
      <c r="D152" t="s">
        <v>856</v>
      </c>
      <c r="E152" s="1">
        <v>44954</v>
      </c>
      <c r="F152" s="20">
        <v>0.38541666666666669</v>
      </c>
      <c r="G152" t="s">
        <v>629</v>
      </c>
      <c r="H152" t="s">
        <v>630</v>
      </c>
      <c r="I152" t="str">
        <f t="shared" si="4"/>
        <v>January</v>
      </c>
      <c r="J152">
        <f>HOUR(Appointment[[#This Row],[appointment_time]])</f>
        <v>9</v>
      </c>
    </row>
    <row r="153" spans="1:10" x14ac:dyDescent="0.25">
      <c r="A153" t="s">
        <v>317</v>
      </c>
      <c r="B153" t="s">
        <v>453</v>
      </c>
      <c r="C153" t="s">
        <v>609</v>
      </c>
      <c r="D153" t="s">
        <v>851</v>
      </c>
      <c r="E153" s="1">
        <v>45030</v>
      </c>
      <c r="F153" s="20">
        <v>0.35416666666666669</v>
      </c>
      <c r="G153" t="s">
        <v>629</v>
      </c>
      <c r="H153" t="s">
        <v>637</v>
      </c>
      <c r="I153" t="str">
        <f t="shared" si="4"/>
        <v>April</v>
      </c>
      <c r="J153">
        <f>HOUR(Appointment[[#This Row],[appointment_time]])</f>
        <v>8</v>
      </c>
    </row>
    <row r="154" spans="1:10" x14ac:dyDescent="0.25">
      <c r="A154" t="s">
        <v>319</v>
      </c>
      <c r="B154" t="s">
        <v>553</v>
      </c>
      <c r="C154" t="s">
        <v>621</v>
      </c>
      <c r="D154" t="s">
        <v>850</v>
      </c>
      <c r="E154" s="1">
        <v>45115</v>
      </c>
      <c r="F154" s="20">
        <v>0.53125</v>
      </c>
      <c r="G154" t="s">
        <v>632</v>
      </c>
      <c r="H154" t="s">
        <v>637</v>
      </c>
      <c r="I154" t="str">
        <f t="shared" si="4"/>
        <v>July</v>
      </c>
      <c r="J154">
        <f>HOUR(Appointment[[#This Row],[appointment_time]])</f>
        <v>12</v>
      </c>
    </row>
    <row r="155" spans="1:10" x14ac:dyDescent="0.25">
      <c r="A155" t="s">
        <v>321</v>
      </c>
      <c r="B155" t="s">
        <v>481</v>
      </c>
      <c r="C155" t="s">
        <v>614</v>
      </c>
      <c r="D155" t="s">
        <v>852</v>
      </c>
      <c r="E155" s="1">
        <v>44991</v>
      </c>
      <c r="F155" s="20">
        <v>0.72916666666666663</v>
      </c>
      <c r="G155" t="s">
        <v>634</v>
      </c>
      <c r="H155" t="s">
        <v>631</v>
      </c>
      <c r="I155" t="str">
        <f t="shared" si="4"/>
        <v>March</v>
      </c>
      <c r="J155">
        <f>HOUR(Appointment[[#This Row],[appointment_time]])</f>
        <v>17</v>
      </c>
    </row>
    <row r="156" spans="1:10" x14ac:dyDescent="0.25">
      <c r="A156" t="s">
        <v>323</v>
      </c>
      <c r="B156" t="s">
        <v>524</v>
      </c>
      <c r="C156" t="s">
        <v>599</v>
      </c>
      <c r="D156" t="s">
        <v>858</v>
      </c>
      <c r="E156" s="1">
        <v>44929</v>
      </c>
      <c r="F156" s="20">
        <v>0.39583333333333331</v>
      </c>
      <c r="G156" t="s">
        <v>632</v>
      </c>
      <c r="H156" t="s">
        <v>633</v>
      </c>
      <c r="I156" t="str">
        <f t="shared" si="4"/>
        <v>January</v>
      </c>
      <c r="J156">
        <f>HOUR(Appointment[[#This Row],[appointment_time]])</f>
        <v>9</v>
      </c>
    </row>
    <row r="157" spans="1:10" x14ac:dyDescent="0.25">
      <c r="A157" t="s">
        <v>325</v>
      </c>
      <c r="B157" t="s">
        <v>510</v>
      </c>
      <c r="C157" t="s">
        <v>619</v>
      </c>
      <c r="D157" t="s">
        <v>857</v>
      </c>
      <c r="E157" s="1">
        <v>45252</v>
      </c>
      <c r="F157" s="20">
        <v>0.60416666666666663</v>
      </c>
      <c r="G157" t="s">
        <v>629</v>
      </c>
      <c r="H157" t="s">
        <v>637</v>
      </c>
      <c r="I157" t="str">
        <f t="shared" si="4"/>
        <v>November</v>
      </c>
      <c r="J157">
        <f>HOUR(Appointment[[#This Row],[appointment_time]])</f>
        <v>14</v>
      </c>
    </row>
    <row r="158" spans="1:10" x14ac:dyDescent="0.25">
      <c r="A158" t="s">
        <v>327</v>
      </c>
      <c r="B158" t="s">
        <v>555</v>
      </c>
      <c r="C158" t="s">
        <v>616</v>
      </c>
      <c r="D158" t="s">
        <v>854</v>
      </c>
      <c r="E158" s="1">
        <v>45058</v>
      </c>
      <c r="F158" s="20">
        <v>0.45833333333333331</v>
      </c>
      <c r="G158" t="s">
        <v>636</v>
      </c>
      <c r="H158" t="s">
        <v>637</v>
      </c>
      <c r="I158" t="str">
        <f t="shared" si="4"/>
        <v>May</v>
      </c>
      <c r="J158">
        <f>HOUR(Appointment[[#This Row],[appointment_time]])</f>
        <v>11</v>
      </c>
    </row>
    <row r="159" spans="1:10" x14ac:dyDescent="0.25">
      <c r="A159" t="s">
        <v>329</v>
      </c>
      <c r="B159" t="s">
        <v>518</v>
      </c>
      <c r="C159" t="s">
        <v>623</v>
      </c>
      <c r="D159" t="s">
        <v>855</v>
      </c>
      <c r="E159" s="1">
        <v>45119</v>
      </c>
      <c r="F159" s="20">
        <v>0.51041666666666663</v>
      </c>
      <c r="G159" t="s">
        <v>635</v>
      </c>
      <c r="H159" t="s">
        <v>637</v>
      </c>
      <c r="I159" t="str">
        <f t="shared" si="4"/>
        <v>July</v>
      </c>
      <c r="J159">
        <f>HOUR(Appointment[[#This Row],[appointment_time]])</f>
        <v>12</v>
      </c>
    </row>
    <row r="160" spans="1:10" x14ac:dyDescent="0.25">
      <c r="A160" t="s">
        <v>331</v>
      </c>
      <c r="B160" t="s">
        <v>493</v>
      </c>
      <c r="C160" t="s">
        <v>607</v>
      </c>
      <c r="D160" t="s">
        <v>853</v>
      </c>
      <c r="E160" s="1">
        <v>45024</v>
      </c>
      <c r="F160" s="20">
        <v>0.67708333333333337</v>
      </c>
      <c r="G160" t="s">
        <v>634</v>
      </c>
      <c r="H160" t="s">
        <v>631</v>
      </c>
      <c r="I160" t="str">
        <f t="shared" si="4"/>
        <v>April</v>
      </c>
      <c r="J160">
        <f>HOUR(Appointment[[#This Row],[appointment_time]])</f>
        <v>16</v>
      </c>
    </row>
    <row r="161" spans="1:10" x14ac:dyDescent="0.25">
      <c r="A161" t="s">
        <v>333</v>
      </c>
      <c r="B161" t="s">
        <v>562</v>
      </c>
      <c r="C161" t="s">
        <v>599</v>
      </c>
      <c r="D161" t="s">
        <v>858</v>
      </c>
      <c r="E161" s="1">
        <v>45277</v>
      </c>
      <c r="F161" s="20">
        <v>0.53125</v>
      </c>
      <c r="G161" t="s">
        <v>634</v>
      </c>
      <c r="H161" t="s">
        <v>633</v>
      </c>
      <c r="I161" t="str">
        <f t="shared" si="4"/>
        <v>December</v>
      </c>
      <c r="J161">
        <f>HOUR(Appointment[[#This Row],[appointment_time]])</f>
        <v>12</v>
      </c>
    </row>
    <row r="162" spans="1:10" x14ac:dyDescent="0.25">
      <c r="A162" t="s">
        <v>335</v>
      </c>
      <c r="B162" t="s">
        <v>579</v>
      </c>
      <c r="C162" t="s">
        <v>612</v>
      </c>
      <c r="D162" t="s">
        <v>859</v>
      </c>
      <c r="E162" s="1">
        <v>45094</v>
      </c>
      <c r="F162" s="20">
        <v>0.44791666666666669</v>
      </c>
      <c r="G162" t="s">
        <v>632</v>
      </c>
      <c r="H162" t="s">
        <v>630</v>
      </c>
      <c r="I162" t="str">
        <f t="shared" ref="I162:I193" si="5">TEXT(E:E,"mmmm")</f>
        <v>June</v>
      </c>
      <c r="J162">
        <f>HOUR(Appointment[[#This Row],[appointment_time]])</f>
        <v>10</v>
      </c>
    </row>
    <row r="163" spans="1:10" x14ac:dyDescent="0.25">
      <c r="A163" t="s">
        <v>337</v>
      </c>
      <c r="B163" t="s">
        <v>570</v>
      </c>
      <c r="C163" t="s">
        <v>609</v>
      </c>
      <c r="D163" t="s">
        <v>851</v>
      </c>
      <c r="E163" s="1">
        <v>44927</v>
      </c>
      <c r="F163" s="20">
        <v>0.71875</v>
      </c>
      <c r="G163" t="s">
        <v>634</v>
      </c>
      <c r="H163" t="s">
        <v>631</v>
      </c>
      <c r="I163" t="str">
        <f t="shared" si="5"/>
        <v>January</v>
      </c>
      <c r="J163">
        <f>HOUR(Appointment[[#This Row],[appointment_time]])</f>
        <v>17</v>
      </c>
    </row>
    <row r="164" spans="1:10" x14ac:dyDescent="0.25">
      <c r="A164" t="s">
        <v>339</v>
      </c>
      <c r="B164" t="s">
        <v>562</v>
      </c>
      <c r="C164" t="s">
        <v>623</v>
      </c>
      <c r="D164" t="s">
        <v>855</v>
      </c>
      <c r="E164" s="1">
        <v>45104</v>
      </c>
      <c r="F164" s="20">
        <v>0.625</v>
      </c>
      <c r="G164" t="s">
        <v>629</v>
      </c>
      <c r="H164" t="s">
        <v>631</v>
      </c>
      <c r="I164" t="str">
        <f t="shared" si="5"/>
        <v>June</v>
      </c>
      <c r="J164">
        <f>HOUR(Appointment[[#This Row],[appointment_time]])</f>
        <v>15</v>
      </c>
    </row>
    <row r="165" spans="1:10" x14ac:dyDescent="0.25">
      <c r="A165" t="s">
        <v>341</v>
      </c>
      <c r="B165" t="s">
        <v>486</v>
      </c>
      <c r="C165" t="s">
        <v>619</v>
      </c>
      <c r="D165" t="s">
        <v>857</v>
      </c>
      <c r="E165" s="1">
        <v>45135</v>
      </c>
      <c r="F165" s="20">
        <v>0.71875</v>
      </c>
      <c r="G165" t="s">
        <v>629</v>
      </c>
      <c r="H165" t="s">
        <v>633</v>
      </c>
      <c r="I165" t="str">
        <f t="shared" si="5"/>
        <v>July</v>
      </c>
      <c r="J165">
        <f>HOUR(Appointment[[#This Row],[appointment_time]])</f>
        <v>17</v>
      </c>
    </row>
    <row r="166" spans="1:10" x14ac:dyDescent="0.25">
      <c r="A166" t="s">
        <v>343</v>
      </c>
      <c r="B166" t="s">
        <v>543</v>
      </c>
      <c r="C166" t="s">
        <v>599</v>
      </c>
      <c r="D166" t="s">
        <v>858</v>
      </c>
      <c r="E166" s="1">
        <v>45020</v>
      </c>
      <c r="F166" s="20">
        <v>0.64583333333333337</v>
      </c>
      <c r="G166" t="s">
        <v>632</v>
      </c>
      <c r="H166" t="s">
        <v>633</v>
      </c>
      <c r="I166" t="str">
        <f t="shared" si="5"/>
        <v>April</v>
      </c>
      <c r="J166">
        <f>HOUR(Appointment[[#This Row],[appointment_time]])</f>
        <v>15</v>
      </c>
    </row>
    <row r="167" spans="1:10" x14ac:dyDescent="0.25">
      <c r="A167" t="s">
        <v>345</v>
      </c>
      <c r="B167" t="s">
        <v>453</v>
      </c>
      <c r="C167" t="s">
        <v>623</v>
      </c>
      <c r="D167" t="s">
        <v>855</v>
      </c>
      <c r="E167" s="1">
        <v>44938</v>
      </c>
      <c r="F167" s="20">
        <v>0.61458333333333337</v>
      </c>
      <c r="G167" t="s">
        <v>629</v>
      </c>
      <c r="H167" t="s">
        <v>631</v>
      </c>
      <c r="I167" t="str">
        <f t="shared" si="5"/>
        <v>January</v>
      </c>
      <c r="J167">
        <f>HOUR(Appointment[[#This Row],[appointment_time]])</f>
        <v>14</v>
      </c>
    </row>
    <row r="168" spans="1:10" x14ac:dyDescent="0.25">
      <c r="A168" t="s">
        <v>347</v>
      </c>
      <c r="B168" t="s">
        <v>553</v>
      </c>
      <c r="C168" t="s">
        <v>599</v>
      </c>
      <c r="D168" t="s">
        <v>858</v>
      </c>
      <c r="E168" s="1">
        <v>45245</v>
      </c>
      <c r="F168" s="20">
        <v>0.34375</v>
      </c>
      <c r="G168" t="s">
        <v>636</v>
      </c>
      <c r="H168" t="s">
        <v>630</v>
      </c>
      <c r="I168" t="str">
        <f t="shared" si="5"/>
        <v>November</v>
      </c>
      <c r="J168">
        <f>HOUR(Appointment[[#This Row],[appointment_time]])</f>
        <v>8</v>
      </c>
    </row>
    <row r="169" spans="1:10" x14ac:dyDescent="0.25">
      <c r="A169" t="s">
        <v>349</v>
      </c>
      <c r="B169" t="s">
        <v>518</v>
      </c>
      <c r="C169" t="s">
        <v>609</v>
      </c>
      <c r="D169" t="s">
        <v>851</v>
      </c>
      <c r="E169" s="1">
        <v>45198</v>
      </c>
      <c r="F169" s="20">
        <v>0.41666666666666669</v>
      </c>
      <c r="G169" t="s">
        <v>632</v>
      </c>
      <c r="H169" t="s">
        <v>631</v>
      </c>
      <c r="I169" t="str">
        <f t="shared" si="5"/>
        <v>September</v>
      </c>
      <c r="J169">
        <f>HOUR(Appointment[[#This Row],[appointment_time]])</f>
        <v>10</v>
      </c>
    </row>
    <row r="170" spans="1:10" x14ac:dyDescent="0.25">
      <c r="A170" t="s">
        <v>351</v>
      </c>
      <c r="B170" t="s">
        <v>537</v>
      </c>
      <c r="C170" t="s">
        <v>619</v>
      </c>
      <c r="D170" t="s">
        <v>857</v>
      </c>
      <c r="E170" s="1">
        <v>45131</v>
      </c>
      <c r="F170" s="20">
        <v>0.69791666666666663</v>
      </c>
      <c r="G170" t="s">
        <v>636</v>
      </c>
      <c r="H170" t="s">
        <v>633</v>
      </c>
      <c r="I170" t="str">
        <f t="shared" si="5"/>
        <v>July</v>
      </c>
      <c r="J170">
        <f>HOUR(Appointment[[#This Row],[appointment_time]])</f>
        <v>16</v>
      </c>
    </row>
    <row r="171" spans="1:10" x14ac:dyDescent="0.25">
      <c r="A171" t="s">
        <v>353</v>
      </c>
      <c r="B171" t="s">
        <v>573</v>
      </c>
      <c r="C171" t="s">
        <v>612</v>
      </c>
      <c r="D171" t="s">
        <v>859</v>
      </c>
      <c r="E171" s="1">
        <v>44988</v>
      </c>
      <c r="F171" s="20">
        <v>0.375</v>
      </c>
      <c r="G171" t="s">
        <v>635</v>
      </c>
      <c r="H171" t="s">
        <v>630</v>
      </c>
      <c r="I171" t="str">
        <f t="shared" si="5"/>
        <v>March</v>
      </c>
      <c r="J171">
        <f>HOUR(Appointment[[#This Row],[appointment_time]])</f>
        <v>9</v>
      </c>
    </row>
    <row r="172" spans="1:10" x14ac:dyDescent="0.25">
      <c r="A172" t="s">
        <v>355</v>
      </c>
      <c r="B172" t="s">
        <v>478</v>
      </c>
      <c r="C172" t="s">
        <v>603</v>
      </c>
      <c r="D172" t="s">
        <v>856</v>
      </c>
      <c r="E172" s="1">
        <v>45034</v>
      </c>
      <c r="F172" s="20">
        <v>0.6875</v>
      </c>
      <c r="G172" t="s">
        <v>636</v>
      </c>
      <c r="H172" t="s">
        <v>633</v>
      </c>
      <c r="I172" t="str">
        <f t="shared" si="5"/>
        <v>April</v>
      </c>
      <c r="J172">
        <f>HOUR(Appointment[[#This Row],[appointment_time]])</f>
        <v>16</v>
      </c>
    </row>
    <row r="173" spans="1:10" x14ac:dyDescent="0.25">
      <c r="A173" t="s">
        <v>357</v>
      </c>
      <c r="B173" t="s">
        <v>499</v>
      </c>
      <c r="C173" t="s">
        <v>614</v>
      </c>
      <c r="D173" t="s">
        <v>852</v>
      </c>
      <c r="E173" s="1">
        <v>44994</v>
      </c>
      <c r="F173" s="20">
        <v>0.67708333333333337</v>
      </c>
      <c r="G173" t="s">
        <v>635</v>
      </c>
      <c r="H173" t="s">
        <v>630</v>
      </c>
      <c r="I173" t="str">
        <f t="shared" si="5"/>
        <v>March</v>
      </c>
      <c r="J173">
        <f>HOUR(Appointment[[#This Row],[appointment_time]])</f>
        <v>16</v>
      </c>
    </row>
    <row r="174" spans="1:10" x14ac:dyDescent="0.25">
      <c r="A174" t="s">
        <v>359</v>
      </c>
      <c r="B174" t="s">
        <v>584</v>
      </c>
      <c r="C174" t="s">
        <v>612</v>
      </c>
      <c r="D174" t="s">
        <v>859</v>
      </c>
      <c r="E174" s="1">
        <v>45081</v>
      </c>
      <c r="F174" s="20">
        <v>0.5625</v>
      </c>
      <c r="G174" t="s">
        <v>635</v>
      </c>
      <c r="H174" t="s">
        <v>637</v>
      </c>
      <c r="I174" t="str">
        <f t="shared" si="5"/>
        <v>June</v>
      </c>
      <c r="J174">
        <f>HOUR(Appointment[[#This Row],[appointment_time]])</f>
        <v>13</v>
      </c>
    </row>
    <row r="175" spans="1:10" x14ac:dyDescent="0.25">
      <c r="A175" t="s">
        <v>361</v>
      </c>
      <c r="B175" t="s">
        <v>481</v>
      </c>
      <c r="C175" t="s">
        <v>603</v>
      </c>
      <c r="D175" t="s">
        <v>856</v>
      </c>
      <c r="E175" s="1">
        <v>45230</v>
      </c>
      <c r="F175" s="20">
        <v>0.46875</v>
      </c>
      <c r="G175" t="s">
        <v>636</v>
      </c>
      <c r="H175" t="s">
        <v>633</v>
      </c>
      <c r="I175" t="str">
        <f t="shared" si="5"/>
        <v>October</v>
      </c>
      <c r="J175">
        <f>HOUR(Appointment[[#This Row],[appointment_time]])</f>
        <v>11</v>
      </c>
    </row>
    <row r="176" spans="1:10" x14ac:dyDescent="0.25">
      <c r="A176" t="s">
        <v>363</v>
      </c>
      <c r="B176" t="s">
        <v>471</v>
      </c>
      <c r="C176" t="s">
        <v>607</v>
      </c>
      <c r="D176" t="s">
        <v>853</v>
      </c>
      <c r="E176" s="1">
        <v>45221</v>
      </c>
      <c r="F176" s="20">
        <v>0.70833333333333337</v>
      </c>
      <c r="G176" t="s">
        <v>632</v>
      </c>
      <c r="H176" t="s">
        <v>633</v>
      </c>
      <c r="I176" t="str">
        <f t="shared" si="5"/>
        <v>October</v>
      </c>
      <c r="J176">
        <f>HOUR(Appointment[[#This Row],[appointment_time]])</f>
        <v>17</v>
      </c>
    </row>
    <row r="177" spans="1:10" x14ac:dyDescent="0.25">
      <c r="A177" t="s">
        <v>365</v>
      </c>
      <c r="B177" t="s">
        <v>474</v>
      </c>
      <c r="C177" t="s">
        <v>621</v>
      </c>
      <c r="D177" t="s">
        <v>850</v>
      </c>
      <c r="E177" s="1">
        <v>45042</v>
      </c>
      <c r="F177" s="20">
        <v>0.39583333333333331</v>
      </c>
      <c r="G177" t="s">
        <v>629</v>
      </c>
      <c r="H177" t="s">
        <v>631</v>
      </c>
      <c r="I177" t="str">
        <f t="shared" si="5"/>
        <v>April</v>
      </c>
      <c r="J177">
        <f>HOUR(Appointment[[#This Row],[appointment_time]])</f>
        <v>9</v>
      </c>
    </row>
    <row r="178" spans="1:10" x14ac:dyDescent="0.25">
      <c r="A178" t="s">
        <v>367</v>
      </c>
      <c r="B178" t="s">
        <v>576</v>
      </c>
      <c r="C178" t="s">
        <v>616</v>
      </c>
      <c r="D178" t="s">
        <v>854</v>
      </c>
      <c r="E178" s="1">
        <v>45154</v>
      </c>
      <c r="F178" s="20">
        <v>0.52083333333333337</v>
      </c>
      <c r="G178" t="s">
        <v>629</v>
      </c>
      <c r="H178" t="s">
        <v>633</v>
      </c>
      <c r="I178" t="str">
        <f t="shared" si="5"/>
        <v>August</v>
      </c>
      <c r="J178">
        <f>HOUR(Appointment[[#This Row],[appointment_time]])</f>
        <v>12</v>
      </c>
    </row>
    <row r="179" spans="1:10" x14ac:dyDescent="0.25">
      <c r="A179" t="s">
        <v>369</v>
      </c>
      <c r="B179" t="s">
        <v>495</v>
      </c>
      <c r="C179" t="s">
        <v>616</v>
      </c>
      <c r="D179" t="s">
        <v>854</v>
      </c>
      <c r="E179" s="1">
        <v>44943</v>
      </c>
      <c r="F179" s="20">
        <v>0.55208333333333337</v>
      </c>
      <c r="G179" t="s">
        <v>635</v>
      </c>
      <c r="H179" t="s">
        <v>633</v>
      </c>
      <c r="I179" t="str">
        <f t="shared" si="5"/>
        <v>January</v>
      </c>
      <c r="J179">
        <f>HOUR(Appointment[[#This Row],[appointment_time]])</f>
        <v>13</v>
      </c>
    </row>
    <row r="180" spans="1:10" x14ac:dyDescent="0.25">
      <c r="A180" t="s">
        <v>371</v>
      </c>
      <c r="B180" t="s">
        <v>560</v>
      </c>
      <c r="C180" t="s">
        <v>614</v>
      </c>
      <c r="D180" t="s">
        <v>852</v>
      </c>
      <c r="E180" s="1">
        <v>44993</v>
      </c>
      <c r="F180" s="20">
        <v>0.51041666666666663</v>
      </c>
      <c r="G180" t="s">
        <v>635</v>
      </c>
      <c r="H180" t="s">
        <v>637</v>
      </c>
      <c r="I180" t="str">
        <f t="shared" si="5"/>
        <v>March</v>
      </c>
      <c r="J180">
        <f>HOUR(Appointment[[#This Row],[appointment_time]])</f>
        <v>12</v>
      </c>
    </row>
    <row r="181" spans="1:10" x14ac:dyDescent="0.25">
      <c r="A181" t="s">
        <v>373</v>
      </c>
      <c r="B181" t="s">
        <v>462</v>
      </c>
      <c r="C181" t="s">
        <v>619</v>
      </c>
      <c r="D181" t="s">
        <v>857</v>
      </c>
      <c r="E181" s="1">
        <v>44933</v>
      </c>
      <c r="F181" s="20">
        <v>0.45833333333333331</v>
      </c>
      <c r="G181" t="s">
        <v>632</v>
      </c>
      <c r="H181" t="s">
        <v>633</v>
      </c>
      <c r="I181" t="str">
        <f t="shared" si="5"/>
        <v>January</v>
      </c>
      <c r="J181">
        <f>HOUR(Appointment[[#This Row],[appointment_time]])</f>
        <v>11</v>
      </c>
    </row>
    <row r="182" spans="1:10" x14ac:dyDescent="0.25">
      <c r="A182" t="s">
        <v>375</v>
      </c>
      <c r="B182" t="s">
        <v>582</v>
      </c>
      <c r="C182" t="s">
        <v>609</v>
      </c>
      <c r="D182" t="s">
        <v>851</v>
      </c>
      <c r="E182" s="1">
        <v>45172</v>
      </c>
      <c r="F182" s="20">
        <v>0.55208333333333337</v>
      </c>
      <c r="G182" t="s">
        <v>634</v>
      </c>
      <c r="H182" t="s">
        <v>637</v>
      </c>
      <c r="I182" t="str">
        <f t="shared" si="5"/>
        <v>September</v>
      </c>
      <c r="J182">
        <f>HOUR(Appointment[[#This Row],[appointment_time]])</f>
        <v>13</v>
      </c>
    </row>
    <row r="183" spans="1:10" x14ac:dyDescent="0.25">
      <c r="A183" t="s">
        <v>377</v>
      </c>
      <c r="B183" t="s">
        <v>483</v>
      </c>
      <c r="C183" t="s">
        <v>619</v>
      </c>
      <c r="D183" t="s">
        <v>857</v>
      </c>
      <c r="E183" s="1">
        <v>45028</v>
      </c>
      <c r="F183" s="20">
        <v>0.33333333333333331</v>
      </c>
      <c r="G183" t="s">
        <v>636</v>
      </c>
      <c r="H183" t="s">
        <v>637</v>
      </c>
      <c r="I183" t="str">
        <f t="shared" si="5"/>
        <v>April</v>
      </c>
      <c r="J183">
        <f>HOUR(Appointment[[#This Row],[appointment_time]])</f>
        <v>8</v>
      </c>
    </row>
    <row r="184" spans="1:10" x14ac:dyDescent="0.25">
      <c r="A184" t="s">
        <v>379</v>
      </c>
      <c r="B184" t="s">
        <v>565</v>
      </c>
      <c r="C184" t="s">
        <v>609</v>
      </c>
      <c r="D184" t="s">
        <v>851</v>
      </c>
      <c r="E184" s="1">
        <v>44960</v>
      </c>
      <c r="F184" s="20">
        <v>0.67708333333333337</v>
      </c>
      <c r="G184" t="s">
        <v>635</v>
      </c>
      <c r="H184" t="s">
        <v>637</v>
      </c>
      <c r="I184" t="str">
        <f t="shared" si="5"/>
        <v>February</v>
      </c>
      <c r="J184">
        <f>HOUR(Appointment[[#This Row],[appointment_time]])</f>
        <v>16</v>
      </c>
    </row>
    <row r="185" spans="1:10" x14ac:dyDescent="0.25">
      <c r="A185" t="s">
        <v>381</v>
      </c>
      <c r="B185" t="s">
        <v>570</v>
      </c>
      <c r="C185" t="s">
        <v>619</v>
      </c>
      <c r="D185" t="s">
        <v>857</v>
      </c>
      <c r="E185" s="1">
        <v>44983</v>
      </c>
      <c r="F185" s="20">
        <v>0.73958333333333337</v>
      </c>
      <c r="G185" t="s">
        <v>629</v>
      </c>
      <c r="H185" t="s">
        <v>637</v>
      </c>
      <c r="I185" t="str">
        <f t="shared" si="5"/>
        <v>February</v>
      </c>
      <c r="J185">
        <f>HOUR(Appointment[[#This Row],[appointment_time]])</f>
        <v>17</v>
      </c>
    </row>
    <row r="186" spans="1:10" x14ac:dyDescent="0.25">
      <c r="A186" t="s">
        <v>383</v>
      </c>
      <c r="B186" t="s">
        <v>471</v>
      </c>
      <c r="C186" t="s">
        <v>621</v>
      </c>
      <c r="D186" t="s">
        <v>850</v>
      </c>
      <c r="E186" s="1">
        <v>45006</v>
      </c>
      <c r="F186" s="20">
        <v>0.58333333333333337</v>
      </c>
      <c r="G186" t="s">
        <v>632</v>
      </c>
      <c r="H186" t="s">
        <v>630</v>
      </c>
      <c r="I186" t="str">
        <f t="shared" si="5"/>
        <v>March</v>
      </c>
      <c r="J186">
        <f>HOUR(Appointment[[#This Row],[appointment_time]])</f>
        <v>14</v>
      </c>
    </row>
    <row r="187" spans="1:10" x14ac:dyDescent="0.25">
      <c r="A187" t="s">
        <v>385</v>
      </c>
      <c r="B187" t="s">
        <v>592</v>
      </c>
      <c r="C187" t="s">
        <v>607</v>
      </c>
      <c r="D187" t="s">
        <v>853</v>
      </c>
      <c r="E187" s="1">
        <v>45012</v>
      </c>
      <c r="F187" s="20">
        <v>0.71875</v>
      </c>
      <c r="G187" t="s">
        <v>636</v>
      </c>
      <c r="H187" t="s">
        <v>631</v>
      </c>
      <c r="I187" t="str">
        <f t="shared" si="5"/>
        <v>March</v>
      </c>
      <c r="J187">
        <f>HOUR(Appointment[[#This Row],[appointment_time]])</f>
        <v>17</v>
      </c>
    </row>
    <row r="188" spans="1:10" x14ac:dyDescent="0.25">
      <c r="A188" t="s">
        <v>387</v>
      </c>
      <c r="B188" t="s">
        <v>531</v>
      </c>
      <c r="C188" t="s">
        <v>607</v>
      </c>
      <c r="D188" t="s">
        <v>853</v>
      </c>
      <c r="E188" s="1">
        <v>44970</v>
      </c>
      <c r="F188" s="20">
        <v>0.52083333333333337</v>
      </c>
      <c r="G188" t="s">
        <v>632</v>
      </c>
      <c r="H188" t="s">
        <v>630</v>
      </c>
      <c r="I188" t="str">
        <f t="shared" si="5"/>
        <v>February</v>
      </c>
      <c r="J188">
        <f>HOUR(Appointment[[#This Row],[appointment_time]])</f>
        <v>12</v>
      </c>
    </row>
    <row r="189" spans="1:10" x14ac:dyDescent="0.25">
      <c r="A189" t="s">
        <v>389</v>
      </c>
      <c r="B189" t="s">
        <v>433</v>
      </c>
      <c r="C189" t="s">
        <v>603</v>
      </c>
      <c r="D189" t="s">
        <v>856</v>
      </c>
      <c r="E189" s="1">
        <v>45028</v>
      </c>
      <c r="F189" s="20">
        <v>0.6875</v>
      </c>
      <c r="G189" t="s">
        <v>636</v>
      </c>
      <c r="H189" t="s">
        <v>633</v>
      </c>
      <c r="I189" t="str">
        <f t="shared" si="5"/>
        <v>April</v>
      </c>
      <c r="J189">
        <f>HOUR(Appointment[[#This Row],[appointment_time]])</f>
        <v>16</v>
      </c>
    </row>
    <row r="190" spans="1:10" x14ac:dyDescent="0.25">
      <c r="A190" t="s">
        <v>391</v>
      </c>
      <c r="B190" t="s">
        <v>453</v>
      </c>
      <c r="C190" t="s">
        <v>623</v>
      </c>
      <c r="D190" t="s">
        <v>855</v>
      </c>
      <c r="E190" s="1">
        <v>45204</v>
      </c>
      <c r="F190" s="20">
        <v>0.5625</v>
      </c>
      <c r="G190" t="s">
        <v>636</v>
      </c>
      <c r="H190" t="s">
        <v>630</v>
      </c>
      <c r="I190" t="str">
        <f t="shared" si="5"/>
        <v>October</v>
      </c>
      <c r="J190">
        <f>HOUR(Appointment[[#This Row],[appointment_time]])</f>
        <v>13</v>
      </c>
    </row>
    <row r="191" spans="1:10" x14ac:dyDescent="0.25">
      <c r="A191" t="s">
        <v>393</v>
      </c>
      <c r="B191" t="s">
        <v>537</v>
      </c>
      <c r="C191" t="s">
        <v>607</v>
      </c>
      <c r="D191" t="s">
        <v>853</v>
      </c>
      <c r="E191" s="1">
        <v>45246</v>
      </c>
      <c r="F191" s="20">
        <v>0.63541666666666663</v>
      </c>
      <c r="G191" t="s">
        <v>635</v>
      </c>
      <c r="H191" t="s">
        <v>630</v>
      </c>
      <c r="I191" t="str">
        <f t="shared" si="5"/>
        <v>November</v>
      </c>
      <c r="J191">
        <f>HOUR(Appointment[[#This Row],[appointment_time]])</f>
        <v>15</v>
      </c>
    </row>
    <row r="192" spans="1:10" x14ac:dyDescent="0.25">
      <c r="A192" t="s">
        <v>395</v>
      </c>
      <c r="B192" t="s">
        <v>557</v>
      </c>
      <c r="C192" t="s">
        <v>607</v>
      </c>
      <c r="D192" t="s">
        <v>853</v>
      </c>
      <c r="E192" s="1">
        <v>45028</v>
      </c>
      <c r="F192" s="20">
        <v>0.66666666666666663</v>
      </c>
      <c r="G192" t="s">
        <v>632</v>
      </c>
      <c r="H192" t="s">
        <v>633</v>
      </c>
      <c r="I192" t="str">
        <f t="shared" si="5"/>
        <v>April</v>
      </c>
      <c r="J192">
        <f>HOUR(Appointment[[#This Row],[appointment_time]])</f>
        <v>16</v>
      </c>
    </row>
    <row r="193" spans="1:10" x14ac:dyDescent="0.25">
      <c r="A193" t="s">
        <v>397</v>
      </c>
      <c r="B193" t="s">
        <v>560</v>
      </c>
      <c r="C193" t="s">
        <v>612</v>
      </c>
      <c r="D193" t="s">
        <v>859</v>
      </c>
      <c r="E193" s="1">
        <v>45169</v>
      </c>
      <c r="F193" s="20">
        <v>0.59375</v>
      </c>
      <c r="G193" t="s">
        <v>632</v>
      </c>
      <c r="H193" t="s">
        <v>633</v>
      </c>
      <c r="I193" t="str">
        <f t="shared" si="5"/>
        <v>August</v>
      </c>
      <c r="J193">
        <f>HOUR(Appointment[[#This Row],[appointment_time]])</f>
        <v>14</v>
      </c>
    </row>
    <row r="194" spans="1:10" x14ac:dyDescent="0.25">
      <c r="A194" t="s">
        <v>399</v>
      </c>
      <c r="B194" t="s">
        <v>502</v>
      </c>
      <c r="C194" t="s">
        <v>612</v>
      </c>
      <c r="D194" t="s">
        <v>859</v>
      </c>
      <c r="E194" s="1">
        <v>45184</v>
      </c>
      <c r="F194" s="20">
        <v>0.34375</v>
      </c>
      <c r="G194" t="s">
        <v>629</v>
      </c>
      <c r="H194" t="s">
        <v>633</v>
      </c>
      <c r="I194" t="str">
        <f t="shared" ref="I194:I201" si="6">TEXT(E:E,"mmmm")</f>
        <v>September</v>
      </c>
      <c r="J194">
        <f>HOUR(Appointment[[#This Row],[appointment_time]])</f>
        <v>8</v>
      </c>
    </row>
    <row r="195" spans="1:10" x14ac:dyDescent="0.25">
      <c r="A195" t="s">
        <v>401</v>
      </c>
      <c r="B195" t="s">
        <v>466</v>
      </c>
      <c r="C195" t="s">
        <v>603</v>
      </c>
      <c r="D195" t="s">
        <v>856</v>
      </c>
      <c r="E195" s="1">
        <v>45022</v>
      </c>
      <c r="F195" s="20">
        <v>0.53125</v>
      </c>
      <c r="G195" t="s">
        <v>629</v>
      </c>
      <c r="H195" t="s">
        <v>630</v>
      </c>
      <c r="I195" t="str">
        <f t="shared" si="6"/>
        <v>April</v>
      </c>
      <c r="J195">
        <f>HOUR(Appointment[[#This Row],[appointment_time]])</f>
        <v>12</v>
      </c>
    </row>
    <row r="196" spans="1:10" x14ac:dyDescent="0.25">
      <c r="A196" t="s">
        <v>403</v>
      </c>
      <c r="B196" t="s">
        <v>586</v>
      </c>
      <c r="C196" t="s">
        <v>623</v>
      </c>
      <c r="D196" t="s">
        <v>855</v>
      </c>
      <c r="E196" s="1">
        <v>45157</v>
      </c>
      <c r="F196" s="20">
        <v>0.71875</v>
      </c>
      <c r="G196" t="s">
        <v>635</v>
      </c>
      <c r="H196" t="s">
        <v>630</v>
      </c>
      <c r="I196" t="str">
        <f t="shared" si="6"/>
        <v>August</v>
      </c>
      <c r="J196">
        <f>HOUR(Appointment[[#This Row],[appointment_time]])</f>
        <v>17</v>
      </c>
    </row>
    <row r="197" spans="1:10" x14ac:dyDescent="0.25">
      <c r="A197" t="s">
        <v>405</v>
      </c>
      <c r="B197" t="s">
        <v>579</v>
      </c>
      <c r="C197" t="s">
        <v>614</v>
      </c>
      <c r="D197" t="s">
        <v>852</v>
      </c>
      <c r="E197" s="1">
        <v>45225</v>
      </c>
      <c r="F197" s="20">
        <v>0.40625</v>
      </c>
      <c r="G197" t="s">
        <v>635</v>
      </c>
      <c r="H197" t="s">
        <v>633</v>
      </c>
      <c r="I197" t="str">
        <f t="shared" si="6"/>
        <v>October</v>
      </c>
      <c r="J197">
        <f>HOUR(Appointment[[#This Row],[appointment_time]])</f>
        <v>9</v>
      </c>
    </row>
    <row r="198" spans="1:10" x14ac:dyDescent="0.25">
      <c r="A198" t="s">
        <v>407</v>
      </c>
      <c r="B198" t="s">
        <v>425</v>
      </c>
      <c r="C198" t="s">
        <v>612</v>
      </c>
      <c r="D198" t="s">
        <v>859</v>
      </c>
      <c r="E198" s="1">
        <v>45017</v>
      </c>
      <c r="F198" s="20">
        <v>0.5625</v>
      </c>
      <c r="G198" t="s">
        <v>634</v>
      </c>
      <c r="H198" t="s">
        <v>631</v>
      </c>
      <c r="I198" t="str">
        <f t="shared" si="6"/>
        <v>April</v>
      </c>
      <c r="J198">
        <f>HOUR(Appointment[[#This Row],[appointment_time]])</f>
        <v>13</v>
      </c>
    </row>
    <row r="199" spans="1:10" x14ac:dyDescent="0.25">
      <c r="A199" t="s">
        <v>409</v>
      </c>
      <c r="B199" t="s">
        <v>513</v>
      </c>
      <c r="C199" t="s">
        <v>614</v>
      </c>
      <c r="D199" t="s">
        <v>852</v>
      </c>
      <c r="E199" s="1">
        <v>45061</v>
      </c>
      <c r="F199" s="20">
        <v>0.35416666666666669</v>
      </c>
      <c r="G199" t="s">
        <v>629</v>
      </c>
      <c r="H199" t="s">
        <v>631</v>
      </c>
      <c r="I199" t="str">
        <f t="shared" si="6"/>
        <v>May</v>
      </c>
      <c r="J199">
        <f>HOUR(Appointment[[#This Row],[appointment_time]])</f>
        <v>8</v>
      </c>
    </row>
    <row r="200" spans="1:10" x14ac:dyDescent="0.25">
      <c r="A200" t="s">
        <v>411</v>
      </c>
      <c r="B200" t="s">
        <v>495</v>
      </c>
      <c r="C200" t="s">
        <v>599</v>
      </c>
      <c r="D200" t="s">
        <v>858</v>
      </c>
      <c r="E200" s="1">
        <v>45047</v>
      </c>
      <c r="F200" s="20">
        <v>0.53125</v>
      </c>
      <c r="G200" t="s">
        <v>636</v>
      </c>
      <c r="H200" t="s">
        <v>637</v>
      </c>
      <c r="I200" t="str">
        <f t="shared" si="6"/>
        <v>May</v>
      </c>
      <c r="J200">
        <f>HOUR(Appointment[[#This Row],[appointment_time]])</f>
        <v>12</v>
      </c>
    </row>
    <row r="201" spans="1:10" x14ac:dyDescent="0.25">
      <c r="A201" t="s">
        <v>413</v>
      </c>
      <c r="B201" t="s">
        <v>462</v>
      </c>
      <c r="C201" t="s">
        <v>612</v>
      </c>
      <c r="D201" t="s">
        <v>859</v>
      </c>
      <c r="E201" s="1">
        <v>45290</v>
      </c>
      <c r="F201" s="20">
        <v>0.42708333333333331</v>
      </c>
      <c r="G201" t="s">
        <v>632</v>
      </c>
      <c r="H201" t="s">
        <v>633</v>
      </c>
      <c r="I201" t="str">
        <f t="shared" si="6"/>
        <v>December</v>
      </c>
      <c r="J201">
        <f>HOUR(Appointment[[#This Row],[appointment_time]])</f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selection activeCell="I15" sqref="I15"/>
    </sheetView>
  </sheetViews>
  <sheetFormatPr defaultRowHeight="15" x14ac:dyDescent="0.25"/>
  <cols>
    <col min="1" max="1" width="14.85546875" customWidth="1"/>
    <col min="2" max="2" width="17.42578125" customWidth="1"/>
    <col min="3" max="3" width="17.140625" customWidth="1"/>
    <col min="4" max="4" width="18.7109375" bestFit="1" customWidth="1"/>
    <col min="5" max="5" width="8" bestFit="1" customWidth="1"/>
    <col min="6" max="6" width="17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3941.97</v>
      </c>
      <c r="F2" s="1">
        <v>45147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4158.4399999999996</v>
      </c>
      <c r="F3" s="1">
        <v>45086</v>
      </c>
    </row>
    <row r="4" spans="1:6" x14ac:dyDescent="0.25">
      <c r="A4" t="s">
        <v>14</v>
      </c>
      <c r="B4" t="s">
        <v>15</v>
      </c>
      <c r="C4" t="s">
        <v>12</v>
      </c>
      <c r="D4" t="s">
        <v>16</v>
      </c>
      <c r="E4">
        <v>3731.55</v>
      </c>
      <c r="F4" s="1">
        <v>45105</v>
      </c>
    </row>
    <row r="5" spans="1:6" x14ac:dyDescent="0.25">
      <c r="A5" t="s">
        <v>17</v>
      </c>
      <c r="B5" t="s">
        <v>18</v>
      </c>
      <c r="C5" t="s">
        <v>12</v>
      </c>
      <c r="D5" t="s">
        <v>9</v>
      </c>
      <c r="E5">
        <v>4799.8599999999997</v>
      </c>
      <c r="F5" s="1">
        <v>45170</v>
      </c>
    </row>
    <row r="6" spans="1:6" x14ac:dyDescent="0.25">
      <c r="A6" t="s">
        <v>19</v>
      </c>
      <c r="B6" t="s">
        <v>20</v>
      </c>
      <c r="C6" t="s">
        <v>21</v>
      </c>
      <c r="D6" t="s">
        <v>16</v>
      </c>
      <c r="E6">
        <v>582.04999999999995</v>
      </c>
      <c r="F6" s="1">
        <v>45113</v>
      </c>
    </row>
    <row r="7" spans="1:6" x14ac:dyDescent="0.25">
      <c r="A7" t="s">
        <v>22</v>
      </c>
      <c r="B7" t="s">
        <v>23</v>
      </c>
      <c r="C7" t="s">
        <v>8</v>
      </c>
      <c r="D7" t="s">
        <v>16</v>
      </c>
      <c r="E7">
        <v>1381</v>
      </c>
      <c r="F7" s="1">
        <v>45096</v>
      </c>
    </row>
    <row r="8" spans="1:6" x14ac:dyDescent="0.25">
      <c r="A8" t="s">
        <v>24</v>
      </c>
      <c r="B8" t="s">
        <v>25</v>
      </c>
      <c r="C8" t="s">
        <v>8</v>
      </c>
      <c r="D8" t="s">
        <v>13</v>
      </c>
      <c r="E8">
        <v>534.03</v>
      </c>
      <c r="F8" s="1">
        <v>45025</v>
      </c>
    </row>
    <row r="9" spans="1:6" x14ac:dyDescent="0.25">
      <c r="A9" t="s">
        <v>26</v>
      </c>
      <c r="B9" t="s">
        <v>27</v>
      </c>
      <c r="C9" t="s">
        <v>28</v>
      </c>
      <c r="D9" t="s">
        <v>9</v>
      </c>
      <c r="E9">
        <v>3413.64</v>
      </c>
      <c r="F9" s="1">
        <v>45070</v>
      </c>
    </row>
    <row r="10" spans="1:6" x14ac:dyDescent="0.25">
      <c r="A10" t="s">
        <v>29</v>
      </c>
      <c r="B10" t="s">
        <v>30</v>
      </c>
      <c r="C10" t="s">
        <v>28</v>
      </c>
      <c r="D10" t="s">
        <v>16</v>
      </c>
      <c r="E10">
        <v>4541.1400000000003</v>
      </c>
      <c r="F10" s="1">
        <v>44990</v>
      </c>
    </row>
    <row r="11" spans="1:6" x14ac:dyDescent="0.25">
      <c r="A11" t="s">
        <v>31</v>
      </c>
      <c r="B11" t="s">
        <v>32</v>
      </c>
      <c r="C11" t="s">
        <v>28</v>
      </c>
      <c r="D11" t="s">
        <v>16</v>
      </c>
      <c r="E11">
        <v>1595.67</v>
      </c>
      <c r="F11" s="1">
        <v>44939</v>
      </c>
    </row>
    <row r="12" spans="1:6" x14ac:dyDescent="0.25">
      <c r="A12" t="s">
        <v>33</v>
      </c>
      <c r="B12" t="s">
        <v>34</v>
      </c>
      <c r="C12" t="s">
        <v>12</v>
      </c>
      <c r="D12" t="s">
        <v>9</v>
      </c>
      <c r="E12">
        <v>4671.66</v>
      </c>
      <c r="F12" s="1">
        <v>45242</v>
      </c>
    </row>
    <row r="13" spans="1:6" x14ac:dyDescent="0.25">
      <c r="A13" t="s">
        <v>35</v>
      </c>
      <c r="B13" t="s">
        <v>36</v>
      </c>
      <c r="C13" t="s">
        <v>8</v>
      </c>
      <c r="D13" t="s">
        <v>16</v>
      </c>
      <c r="E13">
        <v>771.2</v>
      </c>
      <c r="F13" s="1">
        <v>45053</v>
      </c>
    </row>
    <row r="14" spans="1:6" x14ac:dyDescent="0.25">
      <c r="A14" t="s">
        <v>37</v>
      </c>
      <c r="B14" t="s">
        <v>38</v>
      </c>
      <c r="C14" t="s">
        <v>12</v>
      </c>
      <c r="D14" t="s">
        <v>16</v>
      </c>
      <c r="E14">
        <v>4704.96</v>
      </c>
      <c r="F14" s="1">
        <v>45154</v>
      </c>
    </row>
    <row r="15" spans="1:6" x14ac:dyDescent="0.25">
      <c r="A15" t="s">
        <v>39</v>
      </c>
      <c r="B15" t="s">
        <v>40</v>
      </c>
      <c r="C15" t="s">
        <v>21</v>
      </c>
      <c r="D15" t="s">
        <v>9</v>
      </c>
      <c r="E15">
        <v>2082.3000000000002</v>
      </c>
      <c r="F15" s="1">
        <v>45071</v>
      </c>
    </row>
    <row r="16" spans="1:6" x14ac:dyDescent="0.25">
      <c r="A16" t="s">
        <v>41</v>
      </c>
      <c r="B16" t="s">
        <v>42</v>
      </c>
      <c r="C16" t="s">
        <v>28</v>
      </c>
      <c r="D16" t="s">
        <v>9</v>
      </c>
      <c r="E16">
        <v>956.39</v>
      </c>
      <c r="F16" s="1">
        <v>44941</v>
      </c>
    </row>
    <row r="17" spans="1:6" x14ac:dyDescent="0.25">
      <c r="A17" t="s">
        <v>43</v>
      </c>
      <c r="B17" t="s">
        <v>44</v>
      </c>
      <c r="C17" t="s">
        <v>12</v>
      </c>
      <c r="D17" t="s">
        <v>9</v>
      </c>
      <c r="E17">
        <v>2686.42</v>
      </c>
      <c r="F17" s="1">
        <v>45107</v>
      </c>
    </row>
    <row r="18" spans="1:6" x14ac:dyDescent="0.25">
      <c r="A18" t="s">
        <v>45</v>
      </c>
      <c r="B18" t="s">
        <v>46</v>
      </c>
      <c r="C18" t="s">
        <v>12</v>
      </c>
      <c r="D18" t="s">
        <v>9</v>
      </c>
      <c r="E18">
        <v>1655.49</v>
      </c>
      <c r="F18" s="1">
        <v>45118</v>
      </c>
    </row>
    <row r="19" spans="1:6" x14ac:dyDescent="0.25">
      <c r="A19" t="s">
        <v>47</v>
      </c>
      <c r="B19" t="s">
        <v>48</v>
      </c>
      <c r="C19" t="s">
        <v>21</v>
      </c>
      <c r="D19" t="s">
        <v>13</v>
      </c>
      <c r="E19">
        <v>1781.93</v>
      </c>
      <c r="F19" s="1">
        <v>45244</v>
      </c>
    </row>
    <row r="20" spans="1:6" x14ac:dyDescent="0.25">
      <c r="A20" t="s">
        <v>49</v>
      </c>
      <c r="B20" t="s">
        <v>50</v>
      </c>
      <c r="C20" t="s">
        <v>51</v>
      </c>
      <c r="D20" t="s">
        <v>9</v>
      </c>
      <c r="E20">
        <v>1882.8</v>
      </c>
      <c r="F20" s="1">
        <v>44963</v>
      </c>
    </row>
    <row r="21" spans="1:6" x14ac:dyDescent="0.25">
      <c r="A21" t="s">
        <v>52</v>
      </c>
      <c r="B21" t="s">
        <v>53</v>
      </c>
      <c r="C21" t="s">
        <v>8</v>
      </c>
      <c r="D21" t="s">
        <v>13</v>
      </c>
      <c r="E21">
        <v>4113.62</v>
      </c>
      <c r="F21" s="1">
        <v>45265</v>
      </c>
    </row>
    <row r="22" spans="1:6" x14ac:dyDescent="0.25">
      <c r="A22" t="s">
        <v>54</v>
      </c>
      <c r="B22" t="s">
        <v>55</v>
      </c>
      <c r="C22" t="s">
        <v>51</v>
      </c>
      <c r="D22" t="s">
        <v>13</v>
      </c>
      <c r="E22">
        <v>2926.23</v>
      </c>
      <c r="F22" s="1">
        <v>45040</v>
      </c>
    </row>
    <row r="23" spans="1:6" x14ac:dyDescent="0.25">
      <c r="A23" t="s">
        <v>56</v>
      </c>
      <c r="B23" t="s">
        <v>57</v>
      </c>
      <c r="C23" t="s">
        <v>28</v>
      </c>
      <c r="D23" t="s">
        <v>13</v>
      </c>
      <c r="E23">
        <v>1900.88</v>
      </c>
      <c r="F23" s="1">
        <v>45244</v>
      </c>
    </row>
    <row r="24" spans="1:6" x14ac:dyDescent="0.25">
      <c r="A24" t="s">
        <v>58</v>
      </c>
      <c r="B24" t="s">
        <v>59</v>
      </c>
      <c r="C24" t="s">
        <v>12</v>
      </c>
      <c r="D24" t="s">
        <v>16</v>
      </c>
      <c r="E24">
        <v>3246.5</v>
      </c>
      <c r="F24" s="1">
        <v>45055</v>
      </c>
    </row>
    <row r="25" spans="1:6" x14ac:dyDescent="0.25">
      <c r="A25" t="s">
        <v>60</v>
      </c>
      <c r="B25" t="s">
        <v>61</v>
      </c>
      <c r="C25" t="s">
        <v>21</v>
      </c>
      <c r="D25" t="s">
        <v>13</v>
      </c>
      <c r="E25">
        <v>3722.68</v>
      </c>
      <c r="F25" s="1">
        <v>45098</v>
      </c>
    </row>
    <row r="26" spans="1:6" x14ac:dyDescent="0.25">
      <c r="A26" t="s">
        <v>62</v>
      </c>
      <c r="B26" t="s">
        <v>63</v>
      </c>
      <c r="C26" t="s">
        <v>21</v>
      </c>
      <c r="D26" t="s">
        <v>13</v>
      </c>
      <c r="E26">
        <v>1726.81</v>
      </c>
      <c r="F26" s="1">
        <v>44982</v>
      </c>
    </row>
    <row r="27" spans="1:6" x14ac:dyDescent="0.25">
      <c r="A27" t="s">
        <v>64</v>
      </c>
      <c r="B27" t="s">
        <v>65</v>
      </c>
      <c r="C27" t="s">
        <v>8</v>
      </c>
      <c r="D27" t="s">
        <v>16</v>
      </c>
      <c r="E27">
        <v>2360.9699999999998</v>
      </c>
      <c r="F27" s="1">
        <v>45002</v>
      </c>
    </row>
    <row r="28" spans="1:6" x14ac:dyDescent="0.25">
      <c r="A28" t="s">
        <v>66</v>
      </c>
      <c r="B28" t="s">
        <v>67</v>
      </c>
      <c r="C28" t="s">
        <v>51</v>
      </c>
      <c r="D28" t="s">
        <v>16</v>
      </c>
      <c r="E28">
        <v>1048.49</v>
      </c>
      <c r="F28" s="1">
        <v>45244</v>
      </c>
    </row>
    <row r="29" spans="1:6" x14ac:dyDescent="0.25">
      <c r="A29" t="s">
        <v>68</v>
      </c>
      <c r="B29" t="s">
        <v>69</v>
      </c>
      <c r="C29" t="s">
        <v>8</v>
      </c>
      <c r="D29" t="s">
        <v>16</v>
      </c>
      <c r="E29">
        <v>1315.17</v>
      </c>
      <c r="F29" s="1">
        <v>45228</v>
      </c>
    </row>
    <row r="30" spans="1:6" x14ac:dyDescent="0.25">
      <c r="A30" t="s">
        <v>70</v>
      </c>
      <c r="B30" t="s">
        <v>71</v>
      </c>
      <c r="C30" t="s">
        <v>12</v>
      </c>
      <c r="D30" t="s">
        <v>9</v>
      </c>
      <c r="E30">
        <v>3565.03</v>
      </c>
      <c r="F30" s="1">
        <v>45102</v>
      </c>
    </row>
    <row r="31" spans="1:6" x14ac:dyDescent="0.25">
      <c r="A31" t="s">
        <v>72</v>
      </c>
      <c r="B31" t="s">
        <v>73</v>
      </c>
      <c r="C31" t="s">
        <v>8</v>
      </c>
      <c r="D31" t="s">
        <v>16</v>
      </c>
      <c r="E31">
        <v>1316.47</v>
      </c>
      <c r="F31" s="1">
        <v>45167</v>
      </c>
    </row>
    <row r="32" spans="1:6" x14ac:dyDescent="0.25">
      <c r="A32" t="s">
        <v>74</v>
      </c>
      <c r="B32" t="s">
        <v>75</v>
      </c>
      <c r="C32" t="s">
        <v>21</v>
      </c>
      <c r="D32" t="s">
        <v>16</v>
      </c>
      <c r="E32">
        <v>2863.24</v>
      </c>
      <c r="F32" s="1">
        <v>45020</v>
      </c>
    </row>
    <row r="33" spans="1:6" x14ac:dyDescent="0.25">
      <c r="A33" t="s">
        <v>76</v>
      </c>
      <c r="B33" t="s">
        <v>77</v>
      </c>
      <c r="C33" t="s">
        <v>21</v>
      </c>
      <c r="D33" t="s">
        <v>13</v>
      </c>
      <c r="E33">
        <v>3690.71</v>
      </c>
      <c r="F33" s="1">
        <v>45236</v>
      </c>
    </row>
    <row r="34" spans="1:6" x14ac:dyDescent="0.25">
      <c r="A34" t="s">
        <v>78</v>
      </c>
      <c r="B34" t="s">
        <v>79</v>
      </c>
      <c r="C34" t="s">
        <v>28</v>
      </c>
      <c r="D34" t="s">
        <v>16</v>
      </c>
      <c r="E34">
        <v>980.95</v>
      </c>
      <c r="F34" s="1">
        <v>45192</v>
      </c>
    </row>
    <row r="35" spans="1:6" x14ac:dyDescent="0.25">
      <c r="A35" t="s">
        <v>80</v>
      </c>
      <c r="B35" t="s">
        <v>81</v>
      </c>
      <c r="C35" t="s">
        <v>28</v>
      </c>
      <c r="D35" t="s">
        <v>9</v>
      </c>
      <c r="E35">
        <v>3052.9</v>
      </c>
      <c r="F35" s="1">
        <v>45090</v>
      </c>
    </row>
    <row r="36" spans="1:6" x14ac:dyDescent="0.25">
      <c r="A36" t="s">
        <v>82</v>
      </c>
      <c r="B36" t="s">
        <v>83</v>
      </c>
      <c r="C36" t="s">
        <v>12</v>
      </c>
      <c r="D36" t="s">
        <v>16</v>
      </c>
      <c r="E36">
        <v>1654.53</v>
      </c>
      <c r="F36" s="1">
        <v>45034</v>
      </c>
    </row>
    <row r="37" spans="1:6" x14ac:dyDescent="0.25">
      <c r="A37" t="s">
        <v>84</v>
      </c>
      <c r="B37" t="s">
        <v>85</v>
      </c>
      <c r="C37" t="s">
        <v>51</v>
      </c>
      <c r="D37" t="s">
        <v>9</v>
      </c>
      <c r="E37">
        <v>4833.17</v>
      </c>
      <c r="F37" s="1">
        <v>44934</v>
      </c>
    </row>
    <row r="38" spans="1:6" x14ac:dyDescent="0.25">
      <c r="A38" t="s">
        <v>86</v>
      </c>
      <c r="B38" t="s">
        <v>87</v>
      </c>
      <c r="C38" t="s">
        <v>8</v>
      </c>
      <c r="D38" t="s">
        <v>16</v>
      </c>
      <c r="E38">
        <v>2675.96</v>
      </c>
      <c r="F38" s="1">
        <v>45013</v>
      </c>
    </row>
    <row r="39" spans="1:6" x14ac:dyDescent="0.25">
      <c r="A39" t="s">
        <v>88</v>
      </c>
      <c r="B39" t="s">
        <v>89</v>
      </c>
      <c r="C39" t="s">
        <v>12</v>
      </c>
      <c r="D39" t="s">
        <v>16</v>
      </c>
      <c r="E39">
        <v>4126.97</v>
      </c>
      <c r="F39" s="1">
        <v>44980</v>
      </c>
    </row>
    <row r="40" spans="1:6" x14ac:dyDescent="0.25">
      <c r="A40" t="s">
        <v>90</v>
      </c>
      <c r="B40" t="s">
        <v>91</v>
      </c>
      <c r="C40" t="s">
        <v>28</v>
      </c>
      <c r="D40" t="s">
        <v>16</v>
      </c>
      <c r="E40">
        <v>2976.02</v>
      </c>
      <c r="F40" s="1">
        <v>45033</v>
      </c>
    </row>
    <row r="41" spans="1:6" x14ac:dyDescent="0.25">
      <c r="A41" t="s">
        <v>92</v>
      </c>
      <c r="B41" t="s">
        <v>93</v>
      </c>
      <c r="C41" t="s">
        <v>8</v>
      </c>
      <c r="D41" t="s">
        <v>16</v>
      </c>
      <c r="E41">
        <v>695.36</v>
      </c>
      <c r="F41" s="1">
        <v>45012</v>
      </c>
    </row>
    <row r="42" spans="1:6" x14ac:dyDescent="0.25">
      <c r="A42" t="s">
        <v>94</v>
      </c>
      <c r="B42" t="s">
        <v>95</v>
      </c>
      <c r="C42" t="s">
        <v>28</v>
      </c>
      <c r="D42" t="s">
        <v>9</v>
      </c>
      <c r="E42">
        <v>3349.18</v>
      </c>
      <c r="F42" s="1">
        <v>44927</v>
      </c>
    </row>
    <row r="43" spans="1:6" x14ac:dyDescent="0.25">
      <c r="A43" t="s">
        <v>96</v>
      </c>
      <c r="B43" t="s">
        <v>97</v>
      </c>
      <c r="C43" t="s">
        <v>8</v>
      </c>
      <c r="D43" t="s">
        <v>9</v>
      </c>
      <c r="E43">
        <v>4781.32</v>
      </c>
      <c r="F43" s="1">
        <v>45006</v>
      </c>
    </row>
    <row r="44" spans="1:6" x14ac:dyDescent="0.25">
      <c r="A44" t="s">
        <v>98</v>
      </c>
      <c r="B44" t="s">
        <v>99</v>
      </c>
      <c r="C44" t="s">
        <v>51</v>
      </c>
      <c r="D44" t="s">
        <v>13</v>
      </c>
      <c r="E44">
        <v>3207.25</v>
      </c>
      <c r="F44" s="1">
        <v>45014</v>
      </c>
    </row>
    <row r="45" spans="1:6" x14ac:dyDescent="0.25">
      <c r="A45" t="s">
        <v>100</v>
      </c>
      <c r="B45" t="s">
        <v>101</v>
      </c>
      <c r="C45" t="s">
        <v>12</v>
      </c>
      <c r="D45" t="s">
        <v>9</v>
      </c>
      <c r="E45">
        <v>4186.3500000000004</v>
      </c>
      <c r="F45" s="1">
        <v>45189</v>
      </c>
    </row>
    <row r="46" spans="1:6" x14ac:dyDescent="0.25">
      <c r="A46" t="s">
        <v>102</v>
      </c>
      <c r="B46" t="s">
        <v>103</v>
      </c>
      <c r="C46" t="s">
        <v>8</v>
      </c>
      <c r="D46" t="s">
        <v>16</v>
      </c>
      <c r="E46">
        <v>4478.93</v>
      </c>
      <c r="F46" s="1">
        <v>45197</v>
      </c>
    </row>
    <row r="47" spans="1:6" x14ac:dyDescent="0.25">
      <c r="A47" t="s">
        <v>104</v>
      </c>
      <c r="B47" t="s">
        <v>105</v>
      </c>
      <c r="C47" t="s">
        <v>21</v>
      </c>
      <c r="D47" t="s">
        <v>13</v>
      </c>
      <c r="E47">
        <v>1526.36</v>
      </c>
      <c r="F47" s="1">
        <v>45280</v>
      </c>
    </row>
    <row r="48" spans="1:6" x14ac:dyDescent="0.25">
      <c r="A48" t="s">
        <v>106</v>
      </c>
      <c r="B48" t="s">
        <v>107</v>
      </c>
      <c r="C48" t="s">
        <v>21</v>
      </c>
      <c r="D48" t="s">
        <v>13</v>
      </c>
      <c r="E48">
        <v>1454.2</v>
      </c>
      <c r="F48" s="1">
        <v>45048</v>
      </c>
    </row>
    <row r="49" spans="1:6" x14ac:dyDescent="0.25">
      <c r="A49" t="s">
        <v>108</v>
      </c>
      <c r="B49" t="s">
        <v>109</v>
      </c>
      <c r="C49" t="s">
        <v>8</v>
      </c>
      <c r="D49" t="s">
        <v>13</v>
      </c>
      <c r="E49">
        <v>3249.41</v>
      </c>
      <c r="F49" s="1">
        <v>44942</v>
      </c>
    </row>
    <row r="50" spans="1:6" x14ac:dyDescent="0.25">
      <c r="A50" t="s">
        <v>110</v>
      </c>
      <c r="B50" t="s">
        <v>111</v>
      </c>
      <c r="C50" t="s">
        <v>8</v>
      </c>
      <c r="D50" t="s">
        <v>16</v>
      </c>
      <c r="E50">
        <v>2349.63</v>
      </c>
      <c r="F50" s="1">
        <v>45046</v>
      </c>
    </row>
    <row r="51" spans="1:6" x14ac:dyDescent="0.25">
      <c r="A51" t="s">
        <v>112</v>
      </c>
      <c r="B51" t="s">
        <v>113</v>
      </c>
      <c r="C51" t="s">
        <v>8</v>
      </c>
      <c r="D51" t="s">
        <v>9</v>
      </c>
      <c r="E51">
        <v>4279.38</v>
      </c>
      <c r="F51" s="1">
        <v>45154</v>
      </c>
    </row>
    <row r="52" spans="1:6" x14ac:dyDescent="0.25">
      <c r="A52" t="s">
        <v>114</v>
      </c>
      <c r="B52" t="s">
        <v>115</v>
      </c>
      <c r="C52" t="s">
        <v>21</v>
      </c>
      <c r="D52" t="s">
        <v>16</v>
      </c>
      <c r="E52">
        <v>4550.1000000000004</v>
      </c>
      <c r="F52" s="1">
        <v>44961</v>
      </c>
    </row>
    <row r="53" spans="1:6" x14ac:dyDescent="0.25">
      <c r="A53" t="s">
        <v>116</v>
      </c>
      <c r="B53" t="s">
        <v>117</v>
      </c>
      <c r="C53" t="s">
        <v>21</v>
      </c>
      <c r="D53" t="s">
        <v>13</v>
      </c>
      <c r="E53">
        <v>2090.4</v>
      </c>
      <c r="F53" s="1">
        <v>45119</v>
      </c>
    </row>
    <row r="54" spans="1:6" x14ac:dyDescent="0.25">
      <c r="A54" t="s">
        <v>118</v>
      </c>
      <c r="B54" t="s">
        <v>119</v>
      </c>
      <c r="C54" t="s">
        <v>8</v>
      </c>
      <c r="D54" t="s">
        <v>16</v>
      </c>
      <c r="E54">
        <v>1565.92</v>
      </c>
      <c r="F54" s="1">
        <v>44969</v>
      </c>
    </row>
    <row r="55" spans="1:6" x14ac:dyDescent="0.25">
      <c r="A55" t="s">
        <v>120</v>
      </c>
      <c r="B55" t="s">
        <v>121</v>
      </c>
      <c r="C55" t="s">
        <v>28</v>
      </c>
      <c r="D55" t="s">
        <v>16</v>
      </c>
      <c r="E55">
        <v>4012.36</v>
      </c>
      <c r="F55" s="1">
        <v>45276</v>
      </c>
    </row>
    <row r="56" spans="1:6" x14ac:dyDescent="0.25">
      <c r="A56" t="s">
        <v>122</v>
      </c>
      <c r="B56" t="s">
        <v>123</v>
      </c>
      <c r="C56" t="s">
        <v>28</v>
      </c>
      <c r="D56" t="s">
        <v>9</v>
      </c>
      <c r="E56">
        <v>1736.63</v>
      </c>
      <c r="F56" s="1">
        <v>45205</v>
      </c>
    </row>
    <row r="57" spans="1:6" x14ac:dyDescent="0.25">
      <c r="A57" t="s">
        <v>124</v>
      </c>
      <c r="B57" t="s">
        <v>125</v>
      </c>
      <c r="C57" t="s">
        <v>51</v>
      </c>
      <c r="D57" t="s">
        <v>9</v>
      </c>
      <c r="E57">
        <v>4201.76</v>
      </c>
      <c r="F57" s="1">
        <v>44928</v>
      </c>
    </row>
    <row r="58" spans="1:6" x14ac:dyDescent="0.25">
      <c r="A58" t="s">
        <v>126</v>
      </c>
      <c r="B58" t="s">
        <v>127</v>
      </c>
      <c r="C58" t="s">
        <v>12</v>
      </c>
      <c r="D58" t="s">
        <v>13</v>
      </c>
      <c r="E58">
        <v>2406.8200000000002</v>
      </c>
      <c r="F58" s="1">
        <v>45031</v>
      </c>
    </row>
    <row r="59" spans="1:6" x14ac:dyDescent="0.25">
      <c r="A59" t="s">
        <v>128</v>
      </c>
      <c r="B59" t="s">
        <v>129</v>
      </c>
      <c r="C59" t="s">
        <v>28</v>
      </c>
      <c r="D59" t="s">
        <v>16</v>
      </c>
      <c r="E59">
        <v>3503.97</v>
      </c>
      <c r="F59" s="1">
        <v>45055</v>
      </c>
    </row>
    <row r="60" spans="1:6" x14ac:dyDescent="0.25">
      <c r="A60" t="s">
        <v>130</v>
      </c>
      <c r="B60" t="s">
        <v>131</v>
      </c>
      <c r="C60" t="s">
        <v>21</v>
      </c>
      <c r="D60" t="s">
        <v>16</v>
      </c>
      <c r="E60">
        <v>929.91</v>
      </c>
      <c r="F60" s="1">
        <v>44994</v>
      </c>
    </row>
    <row r="61" spans="1:6" x14ac:dyDescent="0.25">
      <c r="A61" t="s">
        <v>132</v>
      </c>
      <c r="B61" t="s">
        <v>133</v>
      </c>
      <c r="C61" t="s">
        <v>28</v>
      </c>
      <c r="D61" t="s">
        <v>9</v>
      </c>
      <c r="E61">
        <v>3307.37</v>
      </c>
      <c r="F61" s="1">
        <v>45252</v>
      </c>
    </row>
    <row r="62" spans="1:6" x14ac:dyDescent="0.25">
      <c r="A62" t="s">
        <v>134</v>
      </c>
      <c r="B62" t="s">
        <v>135</v>
      </c>
      <c r="C62" t="s">
        <v>51</v>
      </c>
      <c r="D62" t="s">
        <v>16</v>
      </c>
      <c r="E62">
        <v>2532.9499999999998</v>
      </c>
      <c r="F62" s="1">
        <v>44941</v>
      </c>
    </row>
    <row r="63" spans="1:6" x14ac:dyDescent="0.25">
      <c r="A63" t="s">
        <v>136</v>
      </c>
      <c r="B63" t="s">
        <v>137</v>
      </c>
      <c r="C63" t="s">
        <v>51</v>
      </c>
      <c r="D63" t="s">
        <v>16</v>
      </c>
      <c r="E63">
        <v>3139.74</v>
      </c>
      <c r="F63" s="1">
        <v>45091</v>
      </c>
    </row>
    <row r="64" spans="1:6" x14ac:dyDescent="0.25">
      <c r="A64" t="s">
        <v>138</v>
      </c>
      <c r="B64" t="s">
        <v>139</v>
      </c>
      <c r="C64" t="s">
        <v>12</v>
      </c>
      <c r="D64" t="s">
        <v>16</v>
      </c>
      <c r="E64">
        <v>1256.06</v>
      </c>
      <c r="F64" s="1">
        <v>45106</v>
      </c>
    </row>
    <row r="65" spans="1:6" x14ac:dyDescent="0.25">
      <c r="A65" t="s">
        <v>140</v>
      </c>
      <c r="B65" t="s">
        <v>141</v>
      </c>
      <c r="C65" t="s">
        <v>28</v>
      </c>
      <c r="D65" t="s">
        <v>9</v>
      </c>
      <c r="E65">
        <v>3815.93</v>
      </c>
      <c r="F65" s="1">
        <v>45077</v>
      </c>
    </row>
    <row r="66" spans="1:6" x14ac:dyDescent="0.25">
      <c r="A66" t="s">
        <v>142</v>
      </c>
      <c r="B66" t="s">
        <v>143</v>
      </c>
      <c r="C66" t="s">
        <v>21</v>
      </c>
      <c r="D66" t="s">
        <v>13</v>
      </c>
      <c r="E66">
        <v>4382.59</v>
      </c>
      <c r="F66" s="1">
        <v>45040</v>
      </c>
    </row>
    <row r="67" spans="1:6" x14ac:dyDescent="0.25">
      <c r="A67" t="s">
        <v>144</v>
      </c>
      <c r="B67" t="s">
        <v>145</v>
      </c>
      <c r="C67" t="s">
        <v>21</v>
      </c>
      <c r="D67" t="s">
        <v>13</v>
      </c>
      <c r="E67">
        <v>1475.33</v>
      </c>
      <c r="F67" s="1">
        <v>45056</v>
      </c>
    </row>
    <row r="68" spans="1:6" x14ac:dyDescent="0.25">
      <c r="A68" t="s">
        <v>146</v>
      </c>
      <c r="B68" t="s">
        <v>147</v>
      </c>
      <c r="C68" t="s">
        <v>8</v>
      </c>
      <c r="D68" t="s">
        <v>16</v>
      </c>
      <c r="E68">
        <v>930.72</v>
      </c>
      <c r="F68" s="1">
        <v>45148</v>
      </c>
    </row>
    <row r="69" spans="1:6" x14ac:dyDescent="0.25">
      <c r="A69" t="s">
        <v>148</v>
      </c>
      <c r="B69" t="s">
        <v>149</v>
      </c>
      <c r="C69" t="s">
        <v>21</v>
      </c>
      <c r="D69" t="s">
        <v>13</v>
      </c>
      <c r="E69">
        <v>606.37</v>
      </c>
      <c r="F69" s="1">
        <v>44999</v>
      </c>
    </row>
    <row r="70" spans="1:6" x14ac:dyDescent="0.25">
      <c r="A70" t="s">
        <v>150</v>
      </c>
      <c r="B70" t="s">
        <v>151</v>
      </c>
      <c r="C70" t="s">
        <v>12</v>
      </c>
      <c r="D70" t="s">
        <v>9</v>
      </c>
      <c r="E70">
        <v>3388.87</v>
      </c>
      <c r="F70" s="1">
        <v>45014</v>
      </c>
    </row>
    <row r="71" spans="1:6" x14ac:dyDescent="0.25">
      <c r="A71" t="s">
        <v>152</v>
      </c>
      <c r="B71" t="s">
        <v>153</v>
      </c>
      <c r="C71" t="s">
        <v>12</v>
      </c>
      <c r="D71" t="s">
        <v>9</v>
      </c>
      <c r="E71">
        <v>3231.92</v>
      </c>
      <c r="F71" s="1">
        <v>45164</v>
      </c>
    </row>
    <row r="72" spans="1:6" x14ac:dyDescent="0.25">
      <c r="A72" t="s">
        <v>154</v>
      </c>
      <c r="B72" t="s">
        <v>155</v>
      </c>
      <c r="C72" t="s">
        <v>21</v>
      </c>
      <c r="D72" t="s">
        <v>13</v>
      </c>
      <c r="E72">
        <v>2960.14</v>
      </c>
      <c r="F72" s="1">
        <v>44952</v>
      </c>
    </row>
    <row r="73" spans="1:6" x14ac:dyDescent="0.25">
      <c r="A73" t="s">
        <v>156</v>
      </c>
      <c r="B73" t="s">
        <v>157</v>
      </c>
      <c r="C73" t="s">
        <v>21</v>
      </c>
      <c r="D73" t="s">
        <v>13</v>
      </c>
      <c r="E73">
        <v>1543.76</v>
      </c>
      <c r="F73" s="1">
        <v>45089</v>
      </c>
    </row>
    <row r="74" spans="1:6" x14ac:dyDescent="0.25">
      <c r="A74" t="s">
        <v>158</v>
      </c>
      <c r="B74" t="s">
        <v>159</v>
      </c>
      <c r="C74" t="s">
        <v>8</v>
      </c>
      <c r="D74" t="s">
        <v>16</v>
      </c>
      <c r="E74">
        <v>2259.08</v>
      </c>
      <c r="F74" s="1">
        <v>45284</v>
      </c>
    </row>
    <row r="75" spans="1:6" x14ac:dyDescent="0.25">
      <c r="A75" t="s">
        <v>160</v>
      </c>
      <c r="B75" t="s">
        <v>161</v>
      </c>
      <c r="C75" t="s">
        <v>21</v>
      </c>
      <c r="D75" t="s">
        <v>13</v>
      </c>
      <c r="E75">
        <v>3175.14</v>
      </c>
      <c r="F75" s="1">
        <v>45130</v>
      </c>
    </row>
    <row r="76" spans="1:6" x14ac:dyDescent="0.25">
      <c r="A76" t="s">
        <v>162</v>
      </c>
      <c r="B76" t="s">
        <v>163</v>
      </c>
      <c r="C76" t="s">
        <v>8</v>
      </c>
      <c r="D76" t="s">
        <v>16</v>
      </c>
      <c r="E76">
        <v>2735.45</v>
      </c>
      <c r="F76" s="1">
        <v>45054</v>
      </c>
    </row>
    <row r="77" spans="1:6" x14ac:dyDescent="0.25">
      <c r="A77" t="s">
        <v>164</v>
      </c>
      <c r="B77" t="s">
        <v>165</v>
      </c>
      <c r="C77" t="s">
        <v>8</v>
      </c>
      <c r="D77" t="s">
        <v>16</v>
      </c>
      <c r="E77">
        <v>4945.03</v>
      </c>
      <c r="F77" s="1">
        <v>45257</v>
      </c>
    </row>
    <row r="78" spans="1:6" x14ac:dyDescent="0.25">
      <c r="A78" t="s">
        <v>166</v>
      </c>
      <c r="B78" t="s">
        <v>167</v>
      </c>
      <c r="C78" t="s">
        <v>21</v>
      </c>
      <c r="D78" t="s">
        <v>9</v>
      </c>
      <c r="E78">
        <v>1113.98</v>
      </c>
      <c r="F78" s="1">
        <v>45274</v>
      </c>
    </row>
    <row r="79" spans="1:6" x14ac:dyDescent="0.25">
      <c r="A79" t="s">
        <v>168</v>
      </c>
      <c r="B79" t="s">
        <v>169</v>
      </c>
      <c r="C79" t="s">
        <v>51</v>
      </c>
      <c r="D79" t="s">
        <v>9</v>
      </c>
      <c r="E79">
        <v>3628.15</v>
      </c>
      <c r="F79" s="1">
        <v>45186</v>
      </c>
    </row>
    <row r="80" spans="1:6" x14ac:dyDescent="0.25">
      <c r="A80" t="s">
        <v>170</v>
      </c>
      <c r="B80" t="s">
        <v>171</v>
      </c>
      <c r="C80" t="s">
        <v>51</v>
      </c>
      <c r="D80" t="s">
        <v>9</v>
      </c>
      <c r="E80">
        <v>2319.4299999999998</v>
      </c>
      <c r="F80" s="1">
        <v>45286</v>
      </c>
    </row>
    <row r="81" spans="1:6" x14ac:dyDescent="0.25">
      <c r="A81" t="s">
        <v>172</v>
      </c>
      <c r="B81" t="s">
        <v>173</v>
      </c>
      <c r="C81" t="s">
        <v>8</v>
      </c>
      <c r="D81" t="s">
        <v>9</v>
      </c>
      <c r="E81">
        <v>2426.9</v>
      </c>
      <c r="F81" s="1">
        <v>45103</v>
      </c>
    </row>
    <row r="82" spans="1:6" x14ac:dyDescent="0.25">
      <c r="A82" t="s">
        <v>174</v>
      </c>
      <c r="B82" t="s">
        <v>175</v>
      </c>
      <c r="C82" t="s">
        <v>21</v>
      </c>
      <c r="D82" t="s">
        <v>13</v>
      </c>
      <c r="E82">
        <v>3729.19</v>
      </c>
      <c r="F82" s="1">
        <v>44932</v>
      </c>
    </row>
    <row r="83" spans="1:6" x14ac:dyDescent="0.25">
      <c r="A83" t="s">
        <v>176</v>
      </c>
      <c r="B83" t="s">
        <v>177</v>
      </c>
      <c r="C83" t="s">
        <v>51</v>
      </c>
      <c r="D83" t="s">
        <v>9</v>
      </c>
      <c r="E83">
        <v>3615.96</v>
      </c>
      <c r="F83" s="1">
        <v>44946</v>
      </c>
    </row>
    <row r="84" spans="1:6" x14ac:dyDescent="0.25">
      <c r="A84" t="s">
        <v>178</v>
      </c>
      <c r="B84" t="s">
        <v>179</v>
      </c>
      <c r="C84" t="s">
        <v>21</v>
      </c>
      <c r="D84" t="s">
        <v>13</v>
      </c>
      <c r="E84">
        <v>4960.6499999999996</v>
      </c>
      <c r="F84" s="1">
        <v>45237</v>
      </c>
    </row>
    <row r="85" spans="1:6" x14ac:dyDescent="0.25">
      <c r="A85" t="s">
        <v>180</v>
      </c>
      <c r="B85" t="s">
        <v>181</v>
      </c>
      <c r="C85" t="s">
        <v>21</v>
      </c>
      <c r="D85" t="s">
        <v>9</v>
      </c>
      <c r="E85">
        <v>1077.77</v>
      </c>
      <c r="F85" s="1">
        <v>45077</v>
      </c>
    </row>
    <row r="86" spans="1:6" x14ac:dyDescent="0.25">
      <c r="A86" t="s">
        <v>182</v>
      </c>
      <c r="B86" t="s">
        <v>183</v>
      </c>
      <c r="C86" t="s">
        <v>21</v>
      </c>
      <c r="D86" t="s">
        <v>13</v>
      </c>
      <c r="E86">
        <v>968.49</v>
      </c>
      <c r="F86" s="1">
        <v>44975</v>
      </c>
    </row>
    <row r="87" spans="1:6" x14ac:dyDescent="0.25">
      <c r="A87" t="s">
        <v>184</v>
      </c>
      <c r="B87" t="s">
        <v>185</v>
      </c>
      <c r="C87" t="s">
        <v>28</v>
      </c>
      <c r="D87" t="s">
        <v>16</v>
      </c>
      <c r="E87">
        <v>3759.52</v>
      </c>
      <c r="F87" s="1">
        <v>45228</v>
      </c>
    </row>
    <row r="88" spans="1:6" x14ac:dyDescent="0.25">
      <c r="A88" t="s">
        <v>186</v>
      </c>
      <c r="B88" t="s">
        <v>187</v>
      </c>
      <c r="C88" t="s">
        <v>21</v>
      </c>
      <c r="D88" t="s">
        <v>13</v>
      </c>
      <c r="E88">
        <v>3102.74</v>
      </c>
      <c r="F88" s="1">
        <v>45218</v>
      </c>
    </row>
    <row r="89" spans="1:6" x14ac:dyDescent="0.25">
      <c r="A89" t="s">
        <v>188</v>
      </c>
      <c r="B89" t="s">
        <v>189</v>
      </c>
      <c r="C89" t="s">
        <v>28</v>
      </c>
      <c r="D89" t="s">
        <v>13</v>
      </c>
      <c r="E89">
        <v>1733.72</v>
      </c>
      <c r="F89" s="1">
        <v>45048</v>
      </c>
    </row>
    <row r="90" spans="1:6" x14ac:dyDescent="0.25">
      <c r="A90" t="s">
        <v>190</v>
      </c>
      <c r="B90" t="s">
        <v>191</v>
      </c>
      <c r="C90" t="s">
        <v>8</v>
      </c>
      <c r="D90" t="s">
        <v>9</v>
      </c>
      <c r="E90">
        <v>857.39</v>
      </c>
      <c r="F90" s="1">
        <v>44971</v>
      </c>
    </row>
    <row r="91" spans="1:6" x14ac:dyDescent="0.25">
      <c r="A91" t="s">
        <v>192</v>
      </c>
      <c r="B91" t="s">
        <v>193</v>
      </c>
      <c r="C91" t="s">
        <v>51</v>
      </c>
      <c r="D91" t="s">
        <v>13</v>
      </c>
      <c r="E91">
        <v>885.46</v>
      </c>
      <c r="F91" s="1">
        <v>45078</v>
      </c>
    </row>
    <row r="92" spans="1:6" x14ac:dyDescent="0.25">
      <c r="A92" t="s">
        <v>194</v>
      </c>
      <c r="B92" t="s">
        <v>195</v>
      </c>
      <c r="C92" t="s">
        <v>51</v>
      </c>
      <c r="D92" t="s">
        <v>16</v>
      </c>
      <c r="E92">
        <v>4523.8599999999997</v>
      </c>
      <c r="F92" s="1">
        <v>45088</v>
      </c>
    </row>
    <row r="93" spans="1:6" x14ac:dyDescent="0.25">
      <c r="A93" t="s">
        <v>196</v>
      </c>
      <c r="B93" t="s">
        <v>197</v>
      </c>
      <c r="C93" t="s">
        <v>51</v>
      </c>
      <c r="D93" t="s">
        <v>16</v>
      </c>
      <c r="E93">
        <v>1363.4</v>
      </c>
      <c r="F93" s="1">
        <v>44956</v>
      </c>
    </row>
    <row r="94" spans="1:6" x14ac:dyDescent="0.25">
      <c r="A94" t="s">
        <v>198</v>
      </c>
      <c r="B94" t="s">
        <v>199</v>
      </c>
      <c r="C94" t="s">
        <v>51</v>
      </c>
      <c r="D94" t="s">
        <v>9</v>
      </c>
      <c r="E94">
        <v>1955.17</v>
      </c>
      <c r="F94" s="1">
        <v>45025</v>
      </c>
    </row>
    <row r="95" spans="1:6" x14ac:dyDescent="0.25">
      <c r="A95" t="s">
        <v>200</v>
      </c>
      <c r="B95" t="s">
        <v>201</v>
      </c>
      <c r="C95" t="s">
        <v>51</v>
      </c>
      <c r="D95" t="s">
        <v>16</v>
      </c>
      <c r="E95">
        <v>1519.95</v>
      </c>
      <c r="F95" s="1">
        <v>45024</v>
      </c>
    </row>
    <row r="96" spans="1:6" x14ac:dyDescent="0.25">
      <c r="A96" t="s">
        <v>202</v>
      </c>
      <c r="B96" t="s">
        <v>203</v>
      </c>
      <c r="C96" t="s">
        <v>51</v>
      </c>
      <c r="D96" t="s">
        <v>13</v>
      </c>
      <c r="E96">
        <v>2097.48</v>
      </c>
      <c r="F96" s="1">
        <v>45055</v>
      </c>
    </row>
    <row r="97" spans="1:6" x14ac:dyDescent="0.25">
      <c r="A97" t="s">
        <v>204</v>
      </c>
      <c r="B97" t="s">
        <v>205</v>
      </c>
      <c r="C97" t="s">
        <v>51</v>
      </c>
      <c r="D97" t="s">
        <v>16</v>
      </c>
      <c r="E97">
        <v>812.41</v>
      </c>
      <c r="F97" s="1">
        <v>45114</v>
      </c>
    </row>
    <row r="98" spans="1:6" x14ac:dyDescent="0.25">
      <c r="A98" t="s">
        <v>206</v>
      </c>
      <c r="B98" t="s">
        <v>207</v>
      </c>
      <c r="C98" t="s">
        <v>8</v>
      </c>
      <c r="D98" t="s">
        <v>9</v>
      </c>
      <c r="E98">
        <v>2835.77</v>
      </c>
      <c r="F98" s="1">
        <v>45052</v>
      </c>
    </row>
    <row r="99" spans="1:6" x14ac:dyDescent="0.25">
      <c r="A99" t="s">
        <v>208</v>
      </c>
      <c r="B99" t="s">
        <v>209</v>
      </c>
      <c r="C99" t="s">
        <v>21</v>
      </c>
      <c r="D99" t="s">
        <v>13</v>
      </c>
      <c r="E99">
        <v>804.26</v>
      </c>
      <c r="F99" s="1">
        <v>45002</v>
      </c>
    </row>
    <row r="100" spans="1:6" x14ac:dyDescent="0.25">
      <c r="A100" t="s">
        <v>210</v>
      </c>
      <c r="B100" t="s">
        <v>211</v>
      </c>
      <c r="C100" t="s">
        <v>12</v>
      </c>
      <c r="D100" t="s">
        <v>9</v>
      </c>
      <c r="E100">
        <v>4101.6000000000004</v>
      </c>
      <c r="F100" s="1">
        <v>45111</v>
      </c>
    </row>
    <row r="101" spans="1:6" x14ac:dyDescent="0.25">
      <c r="A101" t="s">
        <v>212</v>
      </c>
      <c r="B101" t="s">
        <v>213</v>
      </c>
      <c r="C101" t="s">
        <v>28</v>
      </c>
      <c r="D101" t="s">
        <v>13</v>
      </c>
      <c r="E101">
        <v>1551.7</v>
      </c>
      <c r="F101" s="1">
        <v>44987</v>
      </c>
    </row>
    <row r="102" spans="1:6" x14ac:dyDescent="0.25">
      <c r="A102" t="s">
        <v>214</v>
      </c>
      <c r="B102" t="s">
        <v>215</v>
      </c>
      <c r="C102" t="s">
        <v>12</v>
      </c>
      <c r="D102" t="s">
        <v>16</v>
      </c>
      <c r="E102">
        <v>2930.05</v>
      </c>
      <c r="F102" s="1">
        <v>45190</v>
      </c>
    </row>
    <row r="103" spans="1:6" x14ac:dyDescent="0.25">
      <c r="A103" t="s">
        <v>216</v>
      </c>
      <c r="B103" t="s">
        <v>217</v>
      </c>
      <c r="C103" t="s">
        <v>12</v>
      </c>
      <c r="D103" t="s">
        <v>9</v>
      </c>
      <c r="E103">
        <v>4460.3599999999997</v>
      </c>
      <c r="F103" s="1">
        <v>45224</v>
      </c>
    </row>
    <row r="104" spans="1:6" x14ac:dyDescent="0.25">
      <c r="A104" t="s">
        <v>218</v>
      </c>
      <c r="B104" t="s">
        <v>219</v>
      </c>
      <c r="C104" t="s">
        <v>21</v>
      </c>
      <c r="D104" t="s">
        <v>9</v>
      </c>
      <c r="E104">
        <v>3428.95</v>
      </c>
      <c r="F104" s="1">
        <v>44950</v>
      </c>
    </row>
    <row r="105" spans="1:6" x14ac:dyDescent="0.25">
      <c r="A105" t="s">
        <v>220</v>
      </c>
      <c r="B105" t="s">
        <v>221</v>
      </c>
      <c r="C105" t="s">
        <v>21</v>
      </c>
      <c r="D105" t="s">
        <v>13</v>
      </c>
      <c r="E105">
        <v>2898.31</v>
      </c>
      <c r="F105" s="1">
        <v>45034</v>
      </c>
    </row>
    <row r="106" spans="1:6" x14ac:dyDescent="0.25">
      <c r="A106" t="s">
        <v>222</v>
      </c>
      <c r="B106" t="s">
        <v>223</v>
      </c>
      <c r="C106" t="s">
        <v>21</v>
      </c>
      <c r="D106" t="s">
        <v>9</v>
      </c>
      <c r="E106">
        <v>1959.5</v>
      </c>
      <c r="F106" s="1">
        <v>45152</v>
      </c>
    </row>
    <row r="107" spans="1:6" x14ac:dyDescent="0.25">
      <c r="A107" t="s">
        <v>224</v>
      </c>
      <c r="B107" t="s">
        <v>225</v>
      </c>
      <c r="C107" t="s">
        <v>51</v>
      </c>
      <c r="D107" t="s">
        <v>13</v>
      </c>
      <c r="E107">
        <v>1998.51</v>
      </c>
      <c r="F107" s="1">
        <v>45228</v>
      </c>
    </row>
    <row r="108" spans="1:6" x14ac:dyDescent="0.25">
      <c r="A108" t="s">
        <v>226</v>
      </c>
      <c r="B108" t="s">
        <v>227</v>
      </c>
      <c r="C108" t="s">
        <v>8</v>
      </c>
      <c r="D108" t="s">
        <v>13</v>
      </c>
      <c r="E108">
        <v>3512.69</v>
      </c>
      <c r="F108" s="1">
        <v>45033</v>
      </c>
    </row>
    <row r="109" spans="1:6" x14ac:dyDescent="0.25">
      <c r="A109" t="s">
        <v>228</v>
      </c>
      <c r="B109" t="s">
        <v>229</v>
      </c>
      <c r="C109" t="s">
        <v>51</v>
      </c>
      <c r="D109" t="s">
        <v>13</v>
      </c>
      <c r="E109">
        <v>4973.63</v>
      </c>
      <c r="F109" s="1">
        <v>45037</v>
      </c>
    </row>
    <row r="110" spans="1:6" x14ac:dyDescent="0.25">
      <c r="A110" t="s">
        <v>230</v>
      </c>
      <c r="B110" t="s">
        <v>231</v>
      </c>
      <c r="C110" t="s">
        <v>8</v>
      </c>
      <c r="D110" t="s">
        <v>13</v>
      </c>
      <c r="E110">
        <v>3478.28</v>
      </c>
      <c r="F110" s="1">
        <v>45136</v>
      </c>
    </row>
    <row r="111" spans="1:6" x14ac:dyDescent="0.25">
      <c r="A111" t="s">
        <v>232</v>
      </c>
      <c r="B111" t="s">
        <v>233</v>
      </c>
      <c r="C111" t="s">
        <v>8</v>
      </c>
      <c r="D111" t="s">
        <v>16</v>
      </c>
      <c r="E111">
        <v>3010.03</v>
      </c>
      <c r="F111" s="1">
        <v>45126</v>
      </c>
    </row>
    <row r="112" spans="1:6" x14ac:dyDescent="0.25">
      <c r="A112" t="s">
        <v>234</v>
      </c>
      <c r="B112" t="s">
        <v>235</v>
      </c>
      <c r="C112" t="s">
        <v>12</v>
      </c>
      <c r="D112" t="s">
        <v>13</v>
      </c>
      <c r="E112">
        <v>3787.93</v>
      </c>
      <c r="F112" s="1">
        <v>45068</v>
      </c>
    </row>
    <row r="113" spans="1:6" x14ac:dyDescent="0.25">
      <c r="A113" t="s">
        <v>236</v>
      </c>
      <c r="B113" t="s">
        <v>237</v>
      </c>
      <c r="C113" t="s">
        <v>12</v>
      </c>
      <c r="D113" t="s">
        <v>9</v>
      </c>
      <c r="E113">
        <v>2593.4299999999998</v>
      </c>
      <c r="F113" s="1">
        <v>44937</v>
      </c>
    </row>
    <row r="114" spans="1:6" x14ac:dyDescent="0.25">
      <c r="A114" t="s">
        <v>238</v>
      </c>
      <c r="B114" t="s">
        <v>239</v>
      </c>
      <c r="C114" t="s">
        <v>8</v>
      </c>
      <c r="D114" t="s">
        <v>16</v>
      </c>
      <c r="E114">
        <v>770.64</v>
      </c>
      <c r="F114" s="1">
        <v>45254</v>
      </c>
    </row>
    <row r="115" spans="1:6" x14ac:dyDescent="0.25">
      <c r="A115" t="s">
        <v>240</v>
      </c>
      <c r="B115" t="s">
        <v>241</v>
      </c>
      <c r="C115" t="s">
        <v>8</v>
      </c>
      <c r="D115" t="s">
        <v>9</v>
      </c>
      <c r="E115">
        <v>3030.34</v>
      </c>
      <c r="F115" s="1">
        <v>45146</v>
      </c>
    </row>
    <row r="116" spans="1:6" x14ac:dyDescent="0.25">
      <c r="A116" t="s">
        <v>242</v>
      </c>
      <c r="B116" t="s">
        <v>243</v>
      </c>
      <c r="C116" t="s">
        <v>51</v>
      </c>
      <c r="D116" t="s">
        <v>16</v>
      </c>
      <c r="E116">
        <v>4809.3100000000004</v>
      </c>
      <c r="F116" s="1">
        <v>45224</v>
      </c>
    </row>
    <row r="117" spans="1:6" x14ac:dyDescent="0.25">
      <c r="A117" t="s">
        <v>244</v>
      </c>
      <c r="B117" t="s">
        <v>245</v>
      </c>
      <c r="C117" t="s">
        <v>51</v>
      </c>
      <c r="D117" t="s">
        <v>13</v>
      </c>
      <c r="E117">
        <v>1288.8599999999999</v>
      </c>
      <c r="F117" s="1">
        <v>45114</v>
      </c>
    </row>
    <row r="118" spans="1:6" x14ac:dyDescent="0.25">
      <c r="A118" t="s">
        <v>246</v>
      </c>
      <c r="B118" t="s">
        <v>247</v>
      </c>
      <c r="C118" t="s">
        <v>12</v>
      </c>
      <c r="D118" t="s">
        <v>16</v>
      </c>
      <c r="E118">
        <v>3605.02</v>
      </c>
      <c r="F118" s="1">
        <v>45097</v>
      </c>
    </row>
    <row r="119" spans="1:6" x14ac:dyDescent="0.25">
      <c r="A119" t="s">
        <v>248</v>
      </c>
      <c r="B119" t="s">
        <v>249</v>
      </c>
      <c r="C119" t="s">
        <v>21</v>
      </c>
      <c r="D119" t="s">
        <v>16</v>
      </c>
      <c r="E119">
        <v>1404.2</v>
      </c>
      <c r="F119" s="1">
        <v>45147</v>
      </c>
    </row>
    <row r="120" spans="1:6" x14ac:dyDescent="0.25">
      <c r="A120" t="s">
        <v>250</v>
      </c>
      <c r="B120" t="s">
        <v>251</v>
      </c>
      <c r="C120" t="s">
        <v>8</v>
      </c>
      <c r="D120" t="s">
        <v>9</v>
      </c>
      <c r="E120">
        <v>2911.22</v>
      </c>
      <c r="F120" s="1">
        <v>45278</v>
      </c>
    </row>
    <row r="121" spans="1:6" x14ac:dyDescent="0.25">
      <c r="A121" t="s">
        <v>252</v>
      </c>
      <c r="B121" t="s">
        <v>253</v>
      </c>
      <c r="C121" t="s">
        <v>51</v>
      </c>
      <c r="D121" t="s">
        <v>9</v>
      </c>
      <c r="E121">
        <v>935.04</v>
      </c>
      <c r="F121" s="1">
        <v>45268</v>
      </c>
    </row>
    <row r="122" spans="1:6" x14ac:dyDescent="0.25">
      <c r="A122" t="s">
        <v>254</v>
      </c>
      <c r="B122" t="s">
        <v>255</v>
      </c>
      <c r="C122" t="s">
        <v>12</v>
      </c>
      <c r="D122" t="s">
        <v>13</v>
      </c>
      <c r="E122">
        <v>2526.67</v>
      </c>
      <c r="F122" s="1">
        <v>45023</v>
      </c>
    </row>
    <row r="123" spans="1:6" x14ac:dyDescent="0.25">
      <c r="A123" t="s">
        <v>256</v>
      </c>
      <c r="B123" t="s">
        <v>257</v>
      </c>
      <c r="C123" t="s">
        <v>51</v>
      </c>
      <c r="D123" t="s">
        <v>16</v>
      </c>
      <c r="E123">
        <v>3902.73</v>
      </c>
      <c r="F123" s="1">
        <v>45118</v>
      </c>
    </row>
    <row r="124" spans="1:6" x14ac:dyDescent="0.25">
      <c r="A124" t="s">
        <v>258</v>
      </c>
      <c r="B124" t="s">
        <v>259</v>
      </c>
      <c r="C124" t="s">
        <v>8</v>
      </c>
      <c r="D124" t="s">
        <v>16</v>
      </c>
      <c r="E124">
        <v>2064.0700000000002</v>
      </c>
      <c r="F124" s="1">
        <v>44985</v>
      </c>
    </row>
    <row r="125" spans="1:6" x14ac:dyDescent="0.25">
      <c r="A125" t="s">
        <v>260</v>
      </c>
      <c r="B125" t="s">
        <v>261</v>
      </c>
      <c r="C125" t="s">
        <v>8</v>
      </c>
      <c r="D125" t="s">
        <v>16</v>
      </c>
      <c r="E125">
        <v>3492.1</v>
      </c>
      <c r="F125" s="1">
        <v>45001</v>
      </c>
    </row>
    <row r="126" spans="1:6" x14ac:dyDescent="0.25">
      <c r="A126" t="s">
        <v>262</v>
      </c>
      <c r="B126" t="s">
        <v>263</v>
      </c>
      <c r="C126" t="s">
        <v>28</v>
      </c>
      <c r="D126" t="s">
        <v>13</v>
      </c>
      <c r="E126">
        <v>4079.52</v>
      </c>
      <c r="F126" s="1">
        <v>44975</v>
      </c>
    </row>
    <row r="127" spans="1:6" x14ac:dyDescent="0.25">
      <c r="A127" t="s">
        <v>264</v>
      </c>
      <c r="B127" t="s">
        <v>265</v>
      </c>
      <c r="C127" t="s">
        <v>21</v>
      </c>
      <c r="D127" t="s">
        <v>13</v>
      </c>
      <c r="E127">
        <v>4672.3</v>
      </c>
      <c r="F127" s="1">
        <v>45232</v>
      </c>
    </row>
    <row r="128" spans="1:6" x14ac:dyDescent="0.25">
      <c r="A128" t="s">
        <v>266</v>
      </c>
      <c r="B128" t="s">
        <v>267</v>
      </c>
      <c r="C128" t="s">
        <v>28</v>
      </c>
      <c r="D128" t="s">
        <v>13</v>
      </c>
      <c r="E128">
        <v>1555.89</v>
      </c>
      <c r="F128" s="1">
        <v>45243</v>
      </c>
    </row>
    <row r="129" spans="1:6" x14ac:dyDescent="0.25">
      <c r="A129" t="s">
        <v>268</v>
      </c>
      <c r="B129" t="s">
        <v>269</v>
      </c>
      <c r="C129" t="s">
        <v>12</v>
      </c>
      <c r="D129" t="s">
        <v>13</v>
      </c>
      <c r="E129">
        <v>2296.92</v>
      </c>
      <c r="F129" s="1">
        <v>45031</v>
      </c>
    </row>
    <row r="130" spans="1:6" x14ac:dyDescent="0.25">
      <c r="A130" t="s">
        <v>270</v>
      </c>
      <c r="B130" t="s">
        <v>271</v>
      </c>
      <c r="C130" t="s">
        <v>51</v>
      </c>
      <c r="D130" t="s">
        <v>13</v>
      </c>
      <c r="E130">
        <v>1185.8699999999999</v>
      </c>
      <c r="F130" s="1">
        <v>45163</v>
      </c>
    </row>
    <row r="131" spans="1:6" x14ac:dyDescent="0.25">
      <c r="A131" t="s">
        <v>272</v>
      </c>
      <c r="B131" t="s">
        <v>273</v>
      </c>
      <c r="C131" t="s">
        <v>12</v>
      </c>
      <c r="D131" t="s">
        <v>9</v>
      </c>
      <c r="E131">
        <v>4966.18</v>
      </c>
      <c r="F131" s="1">
        <v>44980</v>
      </c>
    </row>
    <row r="132" spans="1:6" x14ac:dyDescent="0.25">
      <c r="A132" t="s">
        <v>274</v>
      </c>
      <c r="B132" t="s">
        <v>275</v>
      </c>
      <c r="C132" t="s">
        <v>8</v>
      </c>
      <c r="D132" t="s">
        <v>16</v>
      </c>
      <c r="E132">
        <v>4671.5</v>
      </c>
      <c r="F132" s="1">
        <v>45057</v>
      </c>
    </row>
    <row r="133" spans="1:6" x14ac:dyDescent="0.25">
      <c r="A133" t="s">
        <v>276</v>
      </c>
      <c r="B133" t="s">
        <v>277</v>
      </c>
      <c r="C133" t="s">
        <v>28</v>
      </c>
      <c r="D133" t="s">
        <v>16</v>
      </c>
      <c r="E133">
        <v>2929.81</v>
      </c>
      <c r="F133" s="1">
        <v>45133</v>
      </c>
    </row>
    <row r="134" spans="1:6" x14ac:dyDescent="0.25">
      <c r="A134" t="s">
        <v>278</v>
      </c>
      <c r="B134" t="s">
        <v>279</v>
      </c>
      <c r="C134" t="s">
        <v>28</v>
      </c>
      <c r="D134" t="s">
        <v>16</v>
      </c>
      <c r="E134">
        <v>4289.1499999999996</v>
      </c>
      <c r="F134" s="1">
        <v>45008</v>
      </c>
    </row>
    <row r="135" spans="1:6" x14ac:dyDescent="0.25">
      <c r="A135" t="s">
        <v>280</v>
      </c>
      <c r="B135" t="s">
        <v>281</v>
      </c>
      <c r="C135" t="s">
        <v>28</v>
      </c>
      <c r="D135" t="s">
        <v>16</v>
      </c>
      <c r="E135">
        <v>2844.31</v>
      </c>
      <c r="F135" s="1">
        <v>45216</v>
      </c>
    </row>
    <row r="136" spans="1:6" x14ac:dyDescent="0.25">
      <c r="A136" t="s">
        <v>282</v>
      </c>
      <c r="B136" t="s">
        <v>283</v>
      </c>
      <c r="C136" t="s">
        <v>12</v>
      </c>
      <c r="D136" t="s">
        <v>16</v>
      </c>
      <c r="E136">
        <v>3306.14</v>
      </c>
      <c r="F136" s="1">
        <v>45178</v>
      </c>
    </row>
    <row r="137" spans="1:6" x14ac:dyDescent="0.25">
      <c r="A137" t="s">
        <v>284</v>
      </c>
      <c r="B137" t="s">
        <v>285</v>
      </c>
      <c r="C137" t="s">
        <v>8</v>
      </c>
      <c r="D137" t="s">
        <v>16</v>
      </c>
      <c r="E137">
        <v>901.06</v>
      </c>
      <c r="F137" s="1">
        <v>45059</v>
      </c>
    </row>
    <row r="138" spans="1:6" x14ac:dyDescent="0.25">
      <c r="A138" t="s">
        <v>286</v>
      </c>
      <c r="B138" t="s">
        <v>287</v>
      </c>
      <c r="C138" t="s">
        <v>51</v>
      </c>
      <c r="D138" t="s">
        <v>16</v>
      </c>
      <c r="E138">
        <v>3898.72</v>
      </c>
      <c r="F138" s="1">
        <v>45224</v>
      </c>
    </row>
    <row r="139" spans="1:6" x14ac:dyDescent="0.25">
      <c r="A139" t="s">
        <v>288</v>
      </c>
      <c r="B139" t="s">
        <v>289</v>
      </c>
      <c r="C139" t="s">
        <v>51</v>
      </c>
      <c r="D139" t="s">
        <v>16</v>
      </c>
      <c r="E139">
        <v>1074.71</v>
      </c>
      <c r="F139" s="1">
        <v>45286</v>
      </c>
    </row>
    <row r="140" spans="1:6" x14ac:dyDescent="0.25">
      <c r="A140" t="s">
        <v>290</v>
      </c>
      <c r="B140" t="s">
        <v>291</v>
      </c>
      <c r="C140" t="s">
        <v>12</v>
      </c>
      <c r="D140" t="s">
        <v>9</v>
      </c>
      <c r="E140">
        <v>4217.3</v>
      </c>
      <c r="F140" s="1">
        <v>45209</v>
      </c>
    </row>
    <row r="141" spans="1:6" x14ac:dyDescent="0.25">
      <c r="A141" t="s">
        <v>292</v>
      </c>
      <c r="B141" t="s">
        <v>293</v>
      </c>
      <c r="C141" t="s">
        <v>28</v>
      </c>
      <c r="D141" t="s">
        <v>16</v>
      </c>
      <c r="E141">
        <v>4019.13</v>
      </c>
      <c r="F141" s="1">
        <v>44962</v>
      </c>
    </row>
    <row r="142" spans="1:6" x14ac:dyDescent="0.25">
      <c r="A142" t="s">
        <v>294</v>
      </c>
      <c r="B142" t="s">
        <v>295</v>
      </c>
      <c r="C142" t="s">
        <v>21</v>
      </c>
      <c r="D142" t="s">
        <v>9</v>
      </c>
      <c r="E142">
        <v>3689.35</v>
      </c>
      <c r="F142" s="1">
        <v>45092</v>
      </c>
    </row>
    <row r="143" spans="1:6" x14ac:dyDescent="0.25">
      <c r="A143" t="s">
        <v>296</v>
      </c>
      <c r="B143" t="s">
        <v>297</v>
      </c>
      <c r="C143" t="s">
        <v>12</v>
      </c>
      <c r="D143" t="s">
        <v>13</v>
      </c>
      <c r="E143">
        <v>662.72</v>
      </c>
      <c r="F143" s="1">
        <v>45231</v>
      </c>
    </row>
    <row r="144" spans="1:6" x14ac:dyDescent="0.25">
      <c r="A144" t="s">
        <v>298</v>
      </c>
      <c r="B144" t="s">
        <v>299</v>
      </c>
      <c r="C144" t="s">
        <v>12</v>
      </c>
      <c r="D144" t="s">
        <v>16</v>
      </c>
      <c r="E144">
        <v>1864.08</v>
      </c>
      <c r="F144" s="1">
        <v>45190</v>
      </c>
    </row>
    <row r="145" spans="1:6" x14ac:dyDescent="0.25">
      <c r="A145" t="s">
        <v>300</v>
      </c>
      <c r="B145" t="s">
        <v>301</v>
      </c>
      <c r="C145" t="s">
        <v>8</v>
      </c>
      <c r="D145" t="s">
        <v>13</v>
      </c>
      <c r="E145">
        <v>1684.01</v>
      </c>
      <c r="F145" s="1">
        <v>45154</v>
      </c>
    </row>
    <row r="146" spans="1:6" x14ac:dyDescent="0.25">
      <c r="A146" t="s">
        <v>302</v>
      </c>
      <c r="B146" t="s">
        <v>303</v>
      </c>
      <c r="C146" t="s">
        <v>51</v>
      </c>
      <c r="D146" t="s">
        <v>13</v>
      </c>
      <c r="E146">
        <v>2120.61</v>
      </c>
      <c r="F146" s="1">
        <v>45241</v>
      </c>
    </row>
    <row r="147" spans="1:6" x14ac:dyDescent="0.25">
      <c r="A147" t="s">
        <v>304</v>
      </c>
      <c r="B147" t="s">
        <v>305</v>
      </c>
      <c r="C147" t="s">
        <v>12</v>
      </c>
      <c r="D147" t="s">
        <v>13</v>
      </c>
      <c r="E147">
        <v>894.39</v>
      </c>
      <c r="F147" s="1">
        <v>44931</v>
      </c>
    </row>
    <row r="148" spans="1:6" x14ac:dyDescent="0.25">
      <c r="A148" t="s">
        <v>306</v>
      </c>
      <c r="B148" t="s">
        <v>307</v>
      </c>
      <c r="C148" t="s">
        <v>12</v>
      </c>
      <c r="D148" t="s">
        <v>9</v>
      </c>
      <c r="E148">
        <v>4716.3100000000004</v>
      </c>
      <c r="F148" s="1">
        <v>45243</v>
      </c>
    </row>
    <row r="149" spans="1:6" x14ac:dyDescent="0.25">
      <c r="A149" t="s">
        <v>308</v>
      </c>
      <c r="B149" t="s">
        <v>309</v>
      </c>
      <c r="C149" t="s">
        <v>28</v>
      </c>
      <c r="D149" t="s">
        <v>13</v>
      </c>
      <c r="E149">
        <v>2992.11</v>
      </c>
      <c r="F149" s="1">
        <v>45266</v>
      </c>
    </row>
    <row r="150" spans="1:6" x14ac:dyDescent="0.25">
      <c r="A150" t="s">
        <v>310</v>
      </c>
      <c r="B150" t="s">
        <v>311</v>
      </c>
      <c r="C150" t="s">
        <v>28</v>
      </c>
      <c r="D150" t="s">
        <v>13</v>
      </c>
      <c r="E150">
        <v>1874.86</v>
      </c>
      <c r="F150" s="1">
        <v>45133</v>
      </c>
    </row>
    <row r="151" spans="1:6" x14ac:dyDescent="0.25">
      <c r="A151" t="s">
        <v>312</v>
      </c>
      <c r="B151" t="s">
        <v>313</v>
      </c>
      <c r="C151" t="s">
        <v>21</v>
      </c>
      <c r="D151" t="s">
        <v>13</v>
      </c>
      <c r="E151">
        <v>2286.42</v>
      </c>
      <c r="F151" s="1">
        <v>45154</v>
      </c>
    </row>
    <row r="152" spans="1:6" x14ac:dyDescent="0.25">
      <c r="A152" t="s">
        <v>314</v>
      </c>
      <c r="B152" t="s">
        <v>315</v>
      </c>
      <c r="C152" t="s">
        <v>8</v>
      </c>
      <c r="D152" t="s">
        <v>16</v>
      </c>
      <c r="E152">
        <v>2512.41</v>
      </c>
      <c r="F152" s="1">
        <v>44954</v>
      </c>
    </row>
    <row r="153" spans="1:6" x14ac:dyDescent="0.25">
      <c r="A153" t="s">
        <v>316</v>
      </c>
      <c r="B153" t="s">
        <v>317</v>
      </c>
      <c r="C153" t="s">
        <v>21</v>
      </c>
      <c r="D153" t="s">
        <v>16</v>
      </c>
      <c r="E153">
        <v>3202.67</v>
      </c>
      <c r="F153" s="1">
        <v>45030</v>
      </c>
    </row>
    <row r="154" spans="1:6" x14ac:dyDescent="0.25">
      <c r="A154" t="s">
        <v>318</v>
      </c>
      <c r="B154" t="s">
        <v>319</v>
      </c>
      <c r="C154" t="s">
        <v>28</v>
      </c>
      <c r="D154" t="s">
        <v>9</v>
      </c>
      <c r="E154">
        <v>2820.56</v>
      </c>
      <c r="F154" s="1">
        <v>45115</v>
      </c>
    </row>
    <row r="155" spans="1:6" x14ac:dyDescent="0.25">
      <c r="A155" t="s">
        <v>320</v>
      </c>
      <c r="B155" t="s">
        <v>321</v>
      </c>
      <c r="C155" t="s">
        <v>51</v>
      </c>
      <c r="D155" t="s">
        <v>9</v>
      </c>
      <c r="E155">
        <v>4637.26</v>
      </c>
      <c r="F155" s="1">
        <v>44991</v>
      </c>
    </row>
    <row r="156" spans="1:6" x14ac:dyDescent="0.25">
      <c r="A156" t="s">
        <v>322</v>
      </c>
      <c r="B156" t="s">
        <v>323</v>
      </c>
      <c r="C156" t="s">
        <v>28</v>
      </c>
      <c r="D156" t="s">
        <v>16</v>
      </c>
      <c r="E156">
        <v>2736.34</v>
      </c>
      <c r="F156" s="1">
        <v>44929</v>
      </c>
    </row>
    <row r="157" spans="1:6" x14ac:dyDescent="0.25">
      <c r="A157" t="s">
        <v>324</v>
      </c>
      <c r="B157" t="s">
        <v>325</v>
      </c>
      <c r="C157" t="s">
        <v>8</v>
      </c>
      <c r="D157" t="s">
        <v>9</v>
      </c>
      <c r="E157">
        <v>4964.71</v>
      </c>
      <c r="F157" s="1">
        <v>45252</v>
      </c>
    </row>
    <row r="158" spans="1:6" x14ac:dyDescent="0.25">
      <c r="A158" t="s">
        <v>326</v>
      </c>
      <c r="B158" t="s">
        <v>327</v>
      </c>
      <c r="C158" t="s">
        <v>28</v>
      </c>
      <c r="D158" t="s">
        <v>16</v>
      </c>
      <c r="E158">
        <v>4331.41</v>
      </c>
      <c r="F158" s="1">
        <v>45058</v>
      </c>
    </row>
    <row r="159" spans="1:6" x14ac:dyDescent="0.25">
      <c r="A159" t="s">
        <v>328</v>
      </c>
      <c r="B159" t="s">
        <v>329</v>
      </c>
      <c r="C159" t="s">
        <v>8</v>
      </c>
      <c r="D159" t="s">
        <v>13</v>
      </c>
      <c r="E159">
        <v>1438.3</v>
      </c>
      <c r="F159" s="1">
        <v>45119</v>
      </c>
    </row>
    <row r="160" spans="1:6" x14ac:dyDescent="0.25">
      <c r="A160" t="s">
        <v>330</v>
      </c>
      <c r="B160" t="s">
        <v>331</v>
      </c>
      <c r="C160" t="s">
        <v>8</v>
      </c>
      <c r="D160" t="s">
        <v>13</v>
      </c>
      <c r="E160">
        <v>4687.68</v>
      </c>
      <c r="F160" s="1">
        <v>45024</v>
      </c>
    </row>
    <row r="161" spans="1:6" x14ac:dyDescent="0.25">
      <c r="A161" t="s">
        <v>332</v>
      </c>
      <c r="B161" t="s">
        <v>333</v>
      </c>
      <c r="C161" t="s">
        <v>8</v>
      </c>
      <c r="D161" t="s">
        <v>9</v>
      </c>
      <c r="E161">
        <v>1023.65</v>
      </c>
      <c r="F161" s="1">
        <v>45277</v>
      </c>
    </row>
    <row r="162" spans="1:6" x14ac:dyDescent="0.25">
      <c r="A162" t="s">
        <v>334</v>
      </c>
      <c r="B162" t="s">
        <v>335</v>
      </c>
      <c r="C162" t="s">
        <v>8</v>
      </c>
      <c r="D162" t="s">
        <v>16</v>
      </c>
      <c r="E162">
        <v>4178.5200000000004</v>
      </c>
      <c r="F162" s="1">
        <v>45094</v>
      </c>
    </row>
    <row r="163" spans="1:6" x14ac:dyDescent="0.25">
      <c r="A163" t="s">
        <v>336</v>
      </c>
      <c r="B163" t="s">
        <v>337</v>
      </c>
      <c r="C163" t="s">
        <v>8</v>
      </c>
      <c r="D163" t="s">
        <v>16</v>
      </c>
      <c r="E163">
        <v>2212.8000000000002</v>
      </c>
      <c r="F163" s="1">
        <v>44927</v>
      </c>
    </row>
    <row r="164" spans="1:6" x14ac:dyDescent="0.25">
      <c r="A164" t="s">
        <v>338</v>
      </c>
      <c r="B164" t="s">
        <v>339</v>
      </c>
      <c r="C164" t="s">
        <v>51</v>
      </c>
      <c r="D164" t="s">
        <v>9</v>
      </c>
      <c r="E164">
        <v>4450.88</v>
      </c>
      <c r="F164" s="1">
        <v>45104</v>
      </c>
    </row>
    <row r="165" spans="1:6" x14ac:dyDescent="0.25">
      <c r="A165" t="s">
        <v>340</v>
      </c>
      <c r="B165" t="s">
        <v>341</v>
      </c>
      <c r="C165" t="s">
        <v>21</v>
      </c>
      <c r="D165" t="s">
        <v>16</v>
      </c>
      <c r="E165">
        <v>4406.26</v>
      </c>
      <c r="F165" s="1">
        <v>45135</v>
      </c>
    </row>
    <row r="166" spans="1:6" x14ac:dyDescent="0.25">
      <c r="A166" t="s">
        <v>342</v>
      </c>
      <c r="B166" t="s">
        <v>343</v>
      </c>
      <c r="C166" t="s">
        <v>12</v>
      </c>
      <c r="D166" t="s">
        <v>13</v>
      </c>
      <c r="E166">
        <v>4126.66</v>
      </c>
      <c r="F166" s="1">
        <v>45020</v>
      </c>
    </row>
    <row r="167" spans="1:6" x14ac:dyDescent="0.25">
      <c r="A167" t="s">
        <v>344</v>
      </c>
      <c r="B167" t="s">
        <v>345</v>
      </c>
      <c r="C167" t="s">
        <v>21</v>
      </c>
      <c r="D167" t="s">
        <v>9</v>
      </c>
      <c r="E167">
        <v>4055.14</v>
      </c>
      <c r="F167" s="1">
        <v>44938</v>
      </c>
    </row>
    <row r="168" spans="1:6" x14ac:dyDescent="0.25">
      <c r="A168" t="s">
        <v>346</v>
      </c>
      <c r="B168" t="s">
        <v>347</v>
      </c>
      <c r="C168" t="s">
        <v>8</v>
      </c>
      <c r="D168" t="s">
        <v>9</v>
      </c>
      <c r="E168">
        <v>1871.06</v>
      </c>
      <c r="F168" s="1">
        <v>45245</v>
      </c>
    </row>
    <row r="169" spans="1:6" x14ac:dyDescent="0.25">
      <c r="A169" t="s">
        <v>348</v>
      </c>
      <c r="B169" t="s">
        <v>349</v>
      </c>
      <c r="C169" t="s">
        <v>51</v>
      </c>
      <c r="D169" t="s">
        <v>16</v>
      </c>
      <c r="E169">
        <v>864.14</v>
      </c>
      <c r="F169" s="1">
        <v>45198</v>
      </c>
    </row>
    <row r="170" spans="1:6" x14ac:dyDescent="0.25">
      <c r="A170" t="s">
        <v>350</v>
      </c>
      <c r="B170" t="s">
        <v>351</v>
      </c>
      <c r="C170" t="s">
        <v>28</v>
      </c>
      <c r="D170" t="s">
        <v>9</v>
      </c>
      <c r="E170">
        <v>2313.41</v>
      </c>
      <c r="F170" s="1">
        <v>45131</v>
      </c>
    </row>
    <row r="171" spans="1:6" x14ac:dyDescent="0.25">
      <c r="A171" t="s">
        <v>352</v>
      </c>
      <c r="B171" t="s">
        <v>353</v>
      </c>
      <c r="C171" t="s">
        <v>51</v>
      </c>
      <c r="D171" t="s">
        <v>16</v>
      </c>
      <c r="E171">
        <v>1280.8599999999999</v>
      </c>
      <c r="F171" s="1">
        <v>44988</v>
      </c>
    </row>
    <row r="172" spans="1:6" x14ac:dyDescent="0.25">
      <c r="A172" t="s">
        <v>354</v>
      </c>
      <c r="B172" t="s">
        <v>355</v>
      </c>
      <c r="C172" t="s">
        <v>8</v>
      </c>
      <c r="D172" t="s">
        <v>16</v>
      </c>
      <c r="E172">
        <v>3627.28</v>
      </c>
      <c r="F172" s="1">
        <v>45034</v>
      </c>
    </row>
    <row r="173" spans="1:6" x14ac:dyDescent="0.25">
      <c r="A173" t="s">
        <v>356</v>
      </c>
      <c r="B173" t="s">
        <v>357</v>
      </c>
      <c r="C173" t="s">
        <v>51</v>
      </c>
      <c r="D173" t="s">
        <v>16</v>
      </c>
      <c r="E173">
        <v>2057.4499999999998</v>
      </c>
      <c r="F173" s="1">
        <v>44994</v>
      </c>
    </row>
    <row r="174" spans="1:6" x14ac:dyDescent="0.25">
      <c r="A174" t="s">
        <v>358</v>
      </c>
      <c r="B174" t="s">
        <v>359</v>
      </c>
      <c r="C174" t="s">
        <v>51</v>
      </c>
      <c r="D174" t="s">
        <v>16</v>
      </c>
      <c r="E174">
        <v>4890.25</v>
      </c>
      <c r="F174" s="1">
        <v>45081</v>
      </c>
    </row>
    <row r="175" spans="1:6" x14ac:dyDescent="0.25">
      <c r="A175" t="s">
        <v>360</v>
      </c>
      <c r="B175" t="s">
        <v>361</v>
      </c>
      <c r="C175" t="s">
        <v>8</v>
      </c>
      <c r="D175" t="s">
        <v>16</v>
      </c>
      <c r="E175">
        <v>3384.37</v>
      </c>
      <c r="F175" s="1">
        <v>45230</v>
      </c>
    </row>
    <row r="176" spans="1:6" x14ac:dyDescent="0.25">
      <c r="A176" t="s">
        <v>362</v>
      </c>
      <c r="B176" t="s">
        <v>363</v>
      </c>
      <c r="C176" t="s">
        <v>51</v>
      </c>
      <c r="D176" t="s">
        <v>9</v>
      </c>
      <c r="E176">
        <v>4201.16</v>
      </c>
      <c r="F176" s="1">
        <v>45221</v>
      </c>
    </row>
    <row r="177" spans="1:6" x14ac:dyDescent="0.25">
      <c r="A177" t="s">
        <v>364</v>
      </c>
      <c r="B177" t="s">
        <v>365</v>
      </c>
      <c r="C177" t="s">
        <v>12</v>
      </c>
      <c r="D177" t="s">
        <v>13</v>
      </c>
      <c r="E177">
        <v>1096.3599999999999</v>
      </c>
      <c r="F177" s="1">
        <v>45042</v>
      </c>
    </row>
    <row r="178" spans="1:6" x14ac:dyDescent="0.25">
      <c r="A178" t="s">
        <v>366</v>
      </c>
      <c r="B178" t="s">
        <v>367</v>
      </c>
      <c r="C178" t="s">
        <v>12</v>
      </c>
      <c r="D178" t="s">
        <v>13</v>
      </c>
      <c r="E178">
        <v>4379.07</v>
      </c>
      <c r="F178" s="1">
        <v>45154</v>
      </c>
    </row>
    <row r="179" spans="1:6" x14ac:dyDescent="0.25">
      <c r="A179" t="s">
        <v>368</v>
      </c>
      <c r="B179" t="s">
        <v>369</v>
      </c>
      <c r="C179" t="s">
        <v>51</v>
      </c>
      <c r="D179" t="s">
        <v>9</v>
      </c>
      <c r="E179">
        <v>4652.41</v>
      </c>
      <c r="F179" s="1">
        <v>44943</v>
      </c>
    </row>
    <row r="180" spans="1:6" x14ac:dyDescent="0.25">
      <c r="A180" t="s">
        <v>370</v>
      </c>
      <c r="B180" t="s">
        <v>371</v>
      </c>
      <c r="C180" t="s">
        <v>28</v>
      </c>
      <c r="D180" t="s">
        <v>9</v>
      </c>
      <c r="E180">
        <v>2691.78</v>
      </c>
      <c r="F180" s="1">
        <v>44993</v>
      </c>
    </row>
    <row r="181" spans="1:6" x14ac:dyDescent="0.25">
      <c r="A181" t="s">
        <v>372</v>
      </c>
      <c r="B181" t="s">
        <v>373</v>
      </c>
      <c r="C181" t="s">
        <v>8</v>
      </c>
      <c r="D181" t="s">
        <v>13</v>
      </c>
      <c r="E181">
        <v>3228.14</v>
      </c>
      <c r="F181" s="1">
        <v>44933</v>
      </c>
    </row>
    <row r="182" spans="1:6" x14ac:dyDescent="0.25">
      <c r="A182" t="s">
        <v>374</v>
      </c>
      <c r="B182" t="s">
        <v>375</v>
      </c>
      <c r="C182" t="s">
        <v>12</v>
      </c>
      <c r="D182" t="s">
        <v>13</v>
      </c>
      <c r="E182">
        <v>3941.64</v>
      </c>
      <c r="F182" s="1">
        <v>45172</v>
      </c>
    </row>
    <row r="183" spans="1:6" x14ac:dyDescent="0.25">
      <c r="A183" t="s">
        <v>376</v>
      </c>
      <c r="B183" t="s">
        <v>377</v>
      </c>
      <c r="C183" t="s">
        <v>28</v>
      </c>
      <c r="D183" t="s">
        <v>13</v>
      </c>
      <c r="E183">
        <v>1286.77</v>
      </c>
      <c r="F183" s="1">
        <v>45028</v>
      </c>
    </row>
    <row r="184" spans="1:6" x14ac:dyDescent="0.25">
      <c r="A184" t="s">
        <v>378</v>
      </c>
      <c r="B184" t="s">
        <v>379</v>
      </c>
      <c r="C184" t="s">
        <v>51</v>
      </c>
      <c r="D184" t="s">
        <v>13</v>
      </c>
      <c r="E184">
        <v>2761.55</v>
      </c>
      <c r="F184" s="1">
        <v>44960</v>
      </c>
    </row>
    <row r="185" spans="1:6" x14ac:dyDescent="0.25">
      <c r="A185" t="s">
        <v>380</v>
      </c>
      <c r="B185" t="s">
        <v>381</v>
      </c>
      <c r="C185" t="s">
        <v>28</v>
      </c>
      <c r="D185" t="s">
        <v>13</v>
      </c>
      <c r="E185">
        <v>2293.98</v>
      </c>
      <c r="F185" s="1">
        <v>44983</v>
      </c>
    </row>
    <row r="186" spans="1:6" x14ac:dyDescent="0.25">
      <c r="A186" t="s">
        <v>382</v>
      </c>
      <c r="B186" t="s">
        <v>383</v>
      </c>
      <c r="C186" t="s">
        <v>21</v>
      </c>
      <c r="D186" t="s">
        <v>16</v>
      </c>
      <c r="E186">
        <v>1158.68</v>
      </c>
      <c r="F186" s="1">
        <v>45006</v>
      </c>
    </row>
    <row r="187" spans="1:6" x14ac:dyDescent="0.25">
      <c r="A187" t="s">
        <v>384</v>
      </c>
      <c r="B187" t="s">
        <v>385</v>
      </c>
      <c r="C187" t="s">
        <v>12</v>
      </c>
      <c r="D187" t="s">
        <v>9</v>
      </c>
      <c r="E187">
        <v>2153.9</v>
      </c>
      <c r="F187" s="1">
        <v>45012</v>
      </c>
    </row>
    <row r="188" spans="1:6" x14ac:dyDescent="0.25">
      <c r="A188" t="s">
        <v>386</v>
      </c>
      <c r="B188" t="s">
        <v>387</v>
      </c>
      <c r="C188" t="s">
        <v>51</v>
      </c>
      <c r="D188" t="s">
        <v>16</v>
      </c>
      <c r="E188">
        <v>806.78</v>
      </c>
      <c r="F188" s="1">
        <v>44970</v>
      </c>
    </row>
    <row r="189" spans="1:6" x14ac:dyDescent="0.25">
      <c r="A189" t="s">
        <v>388</v>
      </c>
      <c r="B189" t="s">
        <v>389</v>
      </c>
      <c r="C189" t="s">
        <v>8</v>
      </c>
      <c r="D189" t="s">
        <v>13</v>
      </c>
      <c r="E189">
        <v>616.15</v>
      </c>
      <c r="F189" s="1">
        <v>45028</v>
      </c>
    </row>
    <row r="190" spans="1:6" x14ac:dyDescent="0.25">
      <c r="A190" t="s">
        <v>390</v>
      </c>
      <c r="B190" t="s">
        <v>391</v>
      </c>
      <c r="C190" t="s">
        <v>51</v>
      </c>
      <c r="D190" t="s">
        <v>13</v>
      </c>
      <c r="E190">
        <v>1108.25</v>
      </c>
      <c r="F190" s="1">
        <v>45204</v>
      </c>
    </row>
    <row r="191" spans="1:6" x14ac:dyDescent="0.25">
      <c r="A191" t="s">
        <v>392</v>
      </c>
      <c r="B191" t="s">
        <v>393</v>
      </c>
      <c r="C191" t="s">
        <v>8</v>
      </c>
      <c r="D191" t="s">
        <v>13</v>
      </c>
      <c r="E191">
        <v>4834.0200000000004</v>
      </c>
      <c r="F191" s="1">
        <v>45246</v>
      </c>
    </row>
    <row r="192" spans="1:6" x14ac:dyDescent="0.25">
      <c r="A192" t="s">
        <v>394</v>
      </c>
      <c r="B192" t="s">
        <v>395</v>
      </c>
      <c r="C192" t="s">
        <v>51</v>
      </c>
      <c r="D192" t="s">
        <v>16</v>
      </c>
      <c r="E192">
        <v>2972.88</v>
      </c>
      <c r="F192" s="1">
        <v>45028</v>
      </c>
    </row>
    <row r="193" spans="1:6" x14ac:dyDescent="0.25">
      <c r="A193" t="s">
        <v>396</v>
      </c>
      <c r="B193" t="s">
        <v>397</v>
      </c>
      <c r="C193" t="s">
        <v>28</v>
      </c>
      <c r="D193" t="s">
        <v>16</v>
      </c>
      <c r="E193">
        <v>4846.2</v>
      </c>
      <c r="F193" s="1">
        <v>45169</v>
      </c>
    </row>
    <row r="194" spans="1:6" x14ac:dyDescent="0.25">
      <c r="A194" t="s">
        <v>398</v>
      </c>
      <c r="B194" t="s">
        <v>399</v>
      </c>
      <c r="C194" t="s">
        <v>28</v>
      </c>
      <c r="D194" t="s">
        <v>13</v>
      </c>
      <c r="E194">
        <v>2446.2399999999998</v>
      </c>
      <c r="F194" s="1">
        <v>45184</v>
      </c>
    </row>
    <row r="195" spans="1:6" x14ac:dyDescent="0.25">
      <c r="A195" t="s">
        <v>400</v>
      </c>
      <c r="B195" t="s">
        <v>401</v>
      </c>
      <c r="C195" t="s">
        <v>28</v>
      </c>
      <c r="D195" t="s">
        <v>16</v>
      </c>
      <c r="E195">
        <v>1903.17</v>
      </c>
      <c r="F195" s="1">
        <v>45022</v>
      </c>
    </row>
    <row r="196" spans="1:6" x14ac:dyDescent="0.25">
      <c r="A196" t="s">
        <v>402</v>
      </c>
      <c r="B196" t="s">
        <v>403</v>
      </c>
      <c r="C196" t="s">
        <v>21</v>
      </c>
      <c r="D196" t="s">
        <v>16</v>
      </c>
      <c r="E196">
        <v>2777.64</v>
      </c>
      <c r="F196" s="1">
        <v>45157</v>
      </c>
    </row>
    <row r="197" spans="1:6" x14ac:dyDescent="0.25">
      <c r="A197" t="s">
        <v>404</v>
      </c>
      <c r="B197" t="s">
        <v>405</v>
      </c>
      <c r="C197" t="s">
        <v>8</v>
      </c>
      <c r="D197" t="s">
        <v>13</v>
      </c>
      <c r="E197">
        <v>2477.8000000000002</v>
      </c>
      <c r="F197" s="1">
        <v>45225</v>
      </c>
    </row>
    <row r="198" spans="1:6" x14ac:dyDescent="0.25">
      <c r="A198" t="s">
        <v>406</v>
      </c>
      <c r="B198" t="s">
        <v>407</v>
      </c>
      <c r="C198" t="s">
        <v>28</v>
      </c>
      <c r="D198" t="s">
        <v>16</v>
      </c>
      <c r="E198">
        <v>975.49</v>
      </c>
      <c r="F198" s="1">
        <v>45017</v>
      </c>
    </row>
    <row r="199" spans="1:6" x14ac:dyDescent="0.25">
      <c r="A199" t="s">
        <v>408</v>
      </c>
      <c r="B199" t="s">
        <v>409</v>
      </c>
      <c r="C199" t="s">
        <v>21</v>
      </c>
      <c r="D199" t="s">
        <v>9</v>
      </c>
      <c r="E199">
        <v>3383.72</v>
      </c>
      <c r="F199" s="1">
        <v>45061</v>
      </c>
    </row>
    <row r="200" spans="1:6" x14ac:dyDescent="0.25">
      <c r="A200" t="s">
        <v>410</v>
      </c>
      <c r="B200" t="s">
        <v>411</v>
      </c>
      <c r="C200" t="s">
        <v>8</v>
      </c>
      <c r="D200" t="s">
        <v>9</v>
      </c>
      <c r="E200">
        <v>1472.17</v>
      </c>
      <c r="F200" s="1">
        <v>45047</v>
      </c>
    </row>
    <row r="201" spans="1:6" x14ac:dyDescent="0.25">
      <c r="A201" t="s">
        <v>412</v>
      </c>
      <c r="B201" t="s">
        <v>413</v>
      </c>
      <c r="C201" t="s">
        <v>51</v>
      </c>
      <c r="D201" t="s">
        <v>9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1"/>
  <sheetViews>
    <sheetView topLeftCell="E1" zoomScaleNormal="100" workbookViewId="0">
      <selection activeCell="A2" sqref="A2:P201"/>
    </sheetView>
  </sheetViews>
  <sheetFormatPr defaultRowHeight="15" x14ac:dyDescent="0.25"/>
  <cols>
    <col min="2" max="2" width="12.28515625" customWidth="1"/>
    <col min="3" max="3" width="14.85546875" customWidth="1"/>
    <col min="4" max="4" width="17.5703125" bestFit="1" customWidth="1"/>
    <col min="6" max="6" width="15.7109375" bestFit="1" customWidth="1"/>
    <col min="7" max="8" width="11" style="1" customWidth="1"/>
    <col min="10" max="10" width="10" customWidth="1"/>
    <col min="11" max="11" width="19" customWidth="1"/>
    <col min="12" max="12" width="17.28515625" customWidth="1"/>
    <col min="13" max="13" width="13.42578125" bestFit="1" customWidth="1"/>
    <col min="14" max="14" width="15" bestFit="1" customWidth="1"/>
    <col min="15" max="15" width="15.7109375" bestFit="1" customWidth="1"/>
    <col min="16" max="16" width="18" bestFit="1" customWidth="1"/>
    <col min="17" max="17" width="15.7109375" bestFit="1" customWidth="1"/>
  </cols>
  <sheetData>
    <row r="1" spans="1:16" x14ac:dyDescent="0.25">
      <c r="A1" t="s">
        <v>638</v>
      </c>
      <c r="B1" t="s">
        <v>414</v>
      </c>
      <c r="C1" t="s">
        <v>0</v>
      </c>
      <c r="D1" t="s">
        <v>871</v>
      </c>
      <c r="E1" t="s">
        <v>872</v>
      </c>
      <c r="F1" t="s">
        <v>882</v>
      </c>
      <c r="G1" s="1" t="s">
        <v>884</v>
      </c>
      <c r="H1" s="1" t="s">
        <v>639</v>
      </c>
      <c r="I1" t="s">
        <v>640</v>
      </c>
      <c r="J1" t="s">
        <v>641</v>
      </c>
      <c r="K1" t="s">
        <v>642</v>
      </c>
      <c r="L1" t="s">
        <v>860</v>
      </c>
      <c r="M1" t="s">
        <v>867</v>
      </c>
      <c r="N1" t="s">
        <v>873</v>
      </c>
      <c r="O1" t="s">
        <v>883</v>
      </c>
      <c r="P1" t="s">
        <v>889</v>
      </c>
    </row>
    <row r="2" spans="1:16" x14ac:dyDescent="0.25">
      <c r="A2" t="s">
        <v>643</v>
      </c>
      <c r="B2" t="s">
        <v>550</v>
      </c>
      <c r="C2" t="s">
        <v>6</v>
      </c>
      <c r="D2" t="str">
        <f>VLOOKUP(C:C,Treatment[#All],2,0)</f>
        <v>A001</v>
      </c>
      <c r="E2" t="str">
        <f>VLOOKUP(D:D,Appointment[#All],3,0)</f>
        <v>D009</v>
      </c>
      <c r="F2" t="str">
        <f>VLOOKUP(Belling[[#This Row],[Docter_id]],Doctor[#All],2,FALSE)</f>
        <v>Sarah</v>
      </c>
      <c r="G2" s="1">
        <f>VLOOKUP(Belling[[#This Row],[Appointment ID]],Appointment[#All],5,FALSE)</f>
        <v>45147</v>
      </c>
      <c r="H2" s="1">
        <v>45177</v>
      </c>
      <c r="I2">
        <v>3941.97</v>
      </c>
      <c r="J2" t="s">
        <v>644</v>
      </c>
      <c r="K2" t="s">
        <v>645</v>
      </c>
      <c r="L2" t="str">
        <f>VLOOKUP(Belling[[#This Row],[patient_id]],Patient[#All],9,FALSE)</f>
        <v>WellnessCorp</v>
      </c>
      <c r="M2" t="str">
        <f t="shared" ref="M2:M33" si="0">IF(OR(K2="Failed", K2="Pending"), "Check Required", "Clear")</f>
        <v>Check Required</v>
      </c>
      <c r="N2" t="str">
        <f>VLOOKUP(E:E,Doctor[#All],4,0)</f>
        <v>Pediatrics</v>
      </c>
      <c r="O2">
        <f t="shared" ref="O2:O65" si="1" xml:space="preserve"> H2 - G2</f>
        <v>30</v>
      </c>
      <c r="P2" s="15">
        <f>VLOOKUP(Belling[[#This Row],[patient_id]],Patient[#All],12,FALSE)</f>
        <v>2023</v>
      </c>
    </row>
    <row r="3" spans="1:16" x14ac:dyDescent="0.25">
      <c r="A3" t="s">
        <v>646</v>
      </c>
      <c r="B3" t="s">
        <v>546</v>
      </c>
      <c r="C3" t="s">
        <v>10</v>
      </c>
      <c r="D3" t="str">
        <f>VLOOKUP(C:C,Treatment[#All],2,0)</f>
        <v>A002</v>
      </c>
      <c r="E3" t="str">
        <f>VLOOKUP(D:D,Appointment[#All],3,0)</f>
        <v>D004</v>
      </c>
      <c r="F3" t="str">
        <f>VLOOKUP(Belling[[#This Row],[Docter_id]],Doctor[#All],2,FALSE)</f>
        <v>David</v>
      </c>
      <c r="G3" s="1">
        <f>VLOOKUP(Belling[[#This Row],[Appointment ID]],Appointment[#All],5,FALSE)</f>
        <v>45086</v>
      </c>
      <c r="H3" s="1">
        <v>45175</v>
      </c>
      <c r="I3">
        <v>4158.4399999999996</v>
      </c>
      <c r="J3" t="s">
        <v>644</v>
      </c>
      <c r="K3" t="s">
        <v>647</v>
      </c>
      <c r="L3" t="str">
        <f>VLOOKUP(Belling[[#This Row],[patient_id]],Patient[#All],9,FALSE)</f>
        <v>MedCare Plus</v>
      </c>
      <c r="M3" t="str">
        <f t="shared" si="0"/>
        <v>Clear</v>
      </c>
      <c r="N3" t="str">
        <f>VLOOKUP(E:E,Doctor[#All],4,0)</f>
        <v>Pediatrics</v>
      </c>
      <c r="O3">
        <f t="shared" si="1"/>
        <v>89</v>
      </c>
      <c r="P3" s="15">
        <f>VLOOKUP(Belling[[#This Row],[patient_id]],Patient[#All],12,FALSE)</f>
        <v>2021</v>
      </c>
    </row>
    <row r="4" spans="1:16" x14ac:dyDescent="0.25">
      <c r="A4" t="s">
        <v>648</v>
      </c>
      <c r="B4" t="s">
        <v>586</v>
      </c>
      <c r="C4" t="s">
        <v>14</v>
      </c>
      <c r="D4" t="str">
        <f>VLOOKUP(C:C,Treatment[#All],2,0)</f>
        <v>A003</v>
      </c>
      <c r="E4" t="str">
        <f>VLOOKUP(D:D,Appointment[#All],3,0)</f>
        <v>D004</v>
      </c>
      <c r="F4" t="str">
        <f>VLOOKUP(Belling[[#This Row],[Docter_id]],Doctor[#All],2,FALSE)</f>
        <v>David</v>
      </c>
      <c r="G4" s="1">
        <f>VLOOKUP(Belling[[#This Row],[Appointment ID]],Appointment[#All],5,FALSE)</f>
        <v>45105</v>
      </c>
      <c r="H4" s="1">
        <v>45105</v>
      </c>
      <c r="I4">
        <v>3731.55</v>
      </c>
      <c r="J4" t="s">
        <v>644</v>
      </c>
      <c r="K4" t="s">
        <v>647</v>
      </c>
      <c r="L4" t="str">
        <f>VLOOKUP(Belling[[#This Row],[patient_id]],Patient[#All],9,FALSE)</f>
        <v>PulseSecure</v>
      </c>
      <c r="M4" t="str">
        <f t="shared" si="0"/>
        <v>Clear</v>
      </c>
      <c r="N4" t="str">
        <f>VLOOKUP(E:E,Doctor[#All],4,0)</f>
        <v>Pediatrics</v>
      </c>
      <c r="O4">
        <f t="shared" si="1"/>
        <v>0</v>
      </c>
      <c r="P4" s="15">
        <f>VLOOKUP(Belling[[#This Row],[patient_id]],Patient[#All],12,FALSE)</f>
        <v>2023</v>
      </c>
    </row>
    <row r="5" spans="1:16" x14ac:dyDescent="0.25">
      <c r="A5" t="s">
        <v>649</v>
      </c>
      <c r="B5" t="s">
        <v>524</v>
      </c>
      <c r="C5" t="s">
        <v>17</v>
      </c>
      <c r="D5" t="str">
        <f>VLOOKUP(C:C,Treatment[#All],2,0)</f>
        <v>A004</v>
      </c>
      <c r="E5" t="str">
        <f>VLOOKUP(D:D,Appointment[#All],3,0)</f>
        <v>D006</v>
      </c>
      <c r="F5" t="str">
        <f>VLOOKUP(Belling[[#This Row],[Docter_id]],Doctor[#All],2,FALSE)</f>
        <v>Alex</v>
      </c>
      <c r="G5" s="1">
        <f>VLOOKUP(Belling[[#This Row],[Appointment ID]],Appointment[#All],5,FALSE)</f>
        <v>45170</v>
      </c>
      <c r="H5" s="1">
        <v>44935</v>
      </c>
      <c r="I5">
        <v>4799.8599999999997</v>
      </c>
      <c r="J5" t="s">
        <v>644</v>
      </c>
      <c r="K5" t="s">
        <v>650</v>
      </c>
      <c r="L5" t="str">
        <f>VLOOKUP(Belling[[#This Row],[patient_id]],Patient[#All],9,FALSE)</f>
        <v>HealthIndia</v>
      </c>
      <c r="M5" t="str">
        <f t="shared" si="0"/>
        <v>Check Required</v>
      </c>
      <c r="N5" t="str">
        <f>VLOOKUP(E:E,Doctor[#All],4,0)</f>
        <v>Pediatrics</v>
      </c>
      <c r="O5">
        <f t="shared" si="1"/>
        <v>-235</v>
      </c>
      <c r="P5" s="15">
        <f>VLOOKUP(Belling[[#This Row],[patient_id]],Patient[#All],12,FALSE)</f>
        <v>2021</v>
      </c>
    </row>
    <row r="6" spans="1:16" x14ac:dyDescent="0.25">
      <c r="A6" t="s">
        <v>651</v>
      </c>
      <c r="B6" t="s">
        <v>565</v>
      </c>
      <c r="C6" t="s">
        <v>19</v>
      </c>
      <c r="D6" t="str">
        <f>VLOOKUP(C:C,Treatment[#All],2,0)</f>
        <v>A005</v>
      </c>
      <c r="E6" t="str">
        <f>VLOOKUP(D:D,Appointment[#All],3,0)</f>
        <v>D003</v>
      </c>
      <c r="F6" t="str">
        <f>VLOOKUP(Belling[[#This Row],[Docter_id]],Doctor[#All],2,FALSE)</f>
        <v>Jane</v>
      </c>
      <c r="G6" s="1">
        <f>VLOOKUP(Belling[[#This Row],[Appointment ID]],Appointment[#All],5,FALSE)</f>
        <v>45113</v>
      </c>
      <c r="H6" s="1">
        <v>45084</v>
      </c>
      <c r="I6">
        <v>582.04999999999995</v>
      </c>
      <c r="J6" t="s">
        <v>652</v>
      </c>
      <c r="K6" t="s">
        <v>645</v>
      </c>
      <c r="L6" t="str">
        <f>VLOOKUP(Belling[[#This Row],[patient_id]],Patient[#All],9,FALSE)</f>
        <v>PulseSecure</v>
      </c>
      <c r="M6" t="str">
        <f t="shared" si="0"/>
        <v>Check Required</v>
      </c>
      <c r="N6" t="str">
        <f>VLOOKUP(E:E,Doctor[#All],4,0)</f>
        <v>Pediatrics</v>
      </c>
      <c r="O6">
        <f t="shared" si="1"/>
        <v>-29</v>
      </c>
      <c r="P6" s="15">
        <f>VLOOKUP(Belling[[#This Row],[patient_id]],Patient[#All],12,FALSE)</f>
        <v>2021</v>
      </c>
    </row>
    <row r="7" spans="1:16" x14ac:dyDescent="0.25">
      <c r="A7" t="s">
        <v>653</v>
      </c>
      <c r="B7" t="s">
        <v>579</v>
      </c>
      <c r="C7" t="s">
        <v>22</v>
      </c>
      <c r="D7" t="str">
        <f>VLOOKUP(C:C,Treatment[#All],2,0)</f>
        <v>A006</v>
      </c>
      <c r="E7" t="str">
        <f>VLOOKUP(D:D,Appointment[#All],3,0)</f>
        <v>D006</v>
      </c>
      <c r="F7" t="str">
        <f>VLOOKUP(Belling[[#This Row],[Docter_id]],Doctor[#All],2,FALSE)</f>
        <v>Alex</v>
      </c>
      <c r="G7" s="1">
        <f>VLOOKUP(Belling[[#This Row],[Appointment ID]],Appointment[#All],5,FALSE)</f>
        <v>45096</v>
      </c>
      <c r="H7" s="1">
        <v>45096</v>
      </c>
      <c r="I7">
        <v>1381</v>
      </c>
      <c r="J7" t="s">
        <v>644</v>
      </c>
      <c r="K7" t="s">
        <v>645</v>
      </c>
      <c r="L7" t="str">
        <f>VLOOKUP(Belling[[#This Row],[patient_id]],Patient[#All],9,FALSE)</f>
        <v>MedCare Plus</v>
      </c>
      <c r="M7" t="str">
        <f t="shared" si="0"/>
        <v>Check Required</v>
      </c>
      <c r="N7" t="str">
        <f>VLOOKUP(E:E,Doctor[#All],4,0)</f>
        <v>Pediatrics</v>
      </c>
      <c r="O7">
        <f t="shared" si="1"/>
        <v>0</v>
      </c>
      <c r="P7" s="15">
        <f>VLOOKUP(Belling[[#This Row],[patient_id]],Patient[#All],12,FALSE)</f>
        <v>2021</v>
      </c>
    </row>
    <row r="8" spans="1:16" x14ac:dyDescent="0.25">
      <c r="A8" t="s">
        <v>654</v>
      </c>
      <c r="B8" t="s">
        <v>425</v>
      </c>
      <c r="C8" t="s">
        <v>24</v>
      </c>
      <c r="D8" t="str">
        <f>VLOOKUP(C:C,Treatment[#All],2,0)</f>
        <v>A007</v>
      </c>
      <c r="E8" t="str">
        <f>VLOOKUP(D:D,Appointment[#All],3,0)</f>
        <v>D007</v>
      </c>
      <c r="F8" t="str">
        <f>VLOOKUP(Belling[[#This Row],[Docter_id]],Doctor[#All],2,FALSE)</f>
        <v>Robert</v>
      </c>
      <c r="G8" s="1">
        <f>VLOOKUP(Belling[[#This Row],[Appointment ID]],Appointment[#All],5,FALSE)</f>
        <v>45025</v>
      </c>
      <c r="H8" s="1">
        <v>45173</v>
      </c>
      <c r="I8">
        <v>534.03</v>
      </c>
      <c r="J8" t="s">
        <v>655</v>
      </c>
      <c r="K8" t="s">
        <v>650</v>
      </c>
      <c r="L8" t="str">
        <f>VLOOKUP(Belling[[#This Row],[patient_id]],Patient[#All],9,FALSE)</f>
        <v>WellnessCorp</v>
      </c>
      <c r="M8" t="str">
        <f t="shared" si="0"/>
        <v>Check Required</v>
      </c>
      <c r="N8" t="str">
        <f>VLOOKUP(E:E,Doctor[#All],4,0)</f>
        <v>Oncology</v>
      </c>
      <c r="O8">
        <f t="shared" si="1"/>
        <v>148</v>
      </c>
      <c r="P8" s="15">
        <f>VLOOKUP(Belling[[#This Row],[patient_id]],Patient[#All],12,FALSE)</f>
        <v>2022</v>
      </c>
    </row>
    <row r="9" spans="1:16" x14ac:dyDescent="0.25">
      <c r="A9" t="s">
        <v>656</v>
      </c>
      <c r="B9" t="s">
        <v>493</v>
      </c>
      <c r="C9" t="s">
        <v>26</v>
      </c>
      <c r="D9" t="str">
        <f>VLOOKUP(C:C,Treatment[#All],2,0)</f>
        <v>A008</v>
      </c>
      <c r="E9" t="str">
        <f>VLOOKUP(D:D,Appointment[#All],3,0)</f>
        <v>D010</v>
      </c>
      <c r="F9" t="str">
        <f>VLOOKUP(Belling[[#This Row],[Docter_id]],Doctor[#All],2,FALSE)</f>
        <v>Linda</v>
      </c>
      <c r="G9" s="1">
        <f>VLOOKUP(Belling[[#This Row],[Appointment ID]],Appointment[#All],5,FALSE)</f>
        <v>45070</v>
      </c>
      <c r="H9" s="1">
        <v>45070</v>
      </c>
      <c r="I9">
        <v>3413.64</v>
      </c>
      <c r="J9" t="s">
        <v>655</v>
      </c>
      <c r="K9" t="s">
        <v>650</v>
      </c>
      <c r="L9" t="str">
        <f>VLOOKUP(Belling[[#This Row],[patient_id]],Patient[#All],9,FALSE)</f>
        <v>PulseSecure</v>
      </c>
      <c r="M9" t="str">
        <f t="shared" si="0"/>
        <v>Check Required</v>
      </c>
      <c r="N9" t="str">
        <f>VLOOKUP(E:E,Doctor[#All],4,0)</f>
        <v>Oncology</v>
      </c>
      <c r="O9">
        <f t="shared" si="1"/>
        <v>0</v>
      </c>
      <c r="P9" s="15">
        <f>VLOOKUP(Belling[[#This Row],[patient_id]],Patient[#All],12,FALSE)</f>
        <v>2021</v>
      </c>
    </row>
    <row r="10" spans="1:16" x14ac:dyDescent="0.25">
      <c r="A10" t="s">
        <v>657</v>
      </c>
      <c r="B10" t="s">
        <v>562</v>
      </c>
      <c r="C10" t="s">
        <v>29</v>
      </c>
      <c r="D10" t="str">
        <f>VLOOKUP(C:C,Treatment[#All],2,0)</f>
        <v>A009</v>
      </c>
      <c r="E10" t="str">
        <f>VLOOKUP(D:D,Appointment[#All],3,0)</f>
        <v>D010</v>
      </c>
      <c r="F10" t="str">
        <f>VLOOKUP(Belling[[#This Row],[Docter_id]],Doctor[#All],2,FALSE)</f>
        <v>Linda</v>
      </c>
      <c r="G10" s="1">
        <f>VLOOKUP(Belling[[#This Row],[Appointment ID]],Appointment[#All],5,FALSE)</f>
        <v>44990</v>
      </c>
      <c r="H10" s="1">
        <v>45049</v>
      </c>
      <c r="I10">
        <v>4541.1400000000003</v>
      </c>
      <c r="J10" t="s">
        <v>652</v>
      </c>
      <c r="K10" t="s">
        <v>647</v>
      </c>
      <c r="L10" t="str">
        <f>VLOOKUP(Belling[[#This Row],[patient_id]],Patient[#All],9,FALSE)</f>
        <v>PulseSecure</v>
      </c>
      <c r="M10" t="str">
        <f t="shared" si="0"/>
        <v>Clear</v>
      </c>
      <c r="N10" t="str">
        <f>VLOOKUP(E:E,Doctor[#All],4,0)</f>
        <v>Oncology</v>
      </c>
      <c r="O10">
        <f t="shared" si="1"/>
        <v>59</v>
      </c>
      <c r="P10" s="15">
        <f>VLOOKUP(Belling[[#This Row],[patient_id]],Patient[#All],12,FALSE)</f>
        <v>2021</v>
      </c>
    </row>
    <row r="11" spans="1:16" x14ac:dyDescent="0.25">
      <c r="A11" t="s">
        <v>658</v>
      </c>
      <c r="B11" t="s">
        <v>453</v>
      </c>
      <c r="C11" t="s">
        <v>31</v>
      </c>
      <c r="D11" t="str">
        <f>VLOOKUP(C:C,Treatment[#All],2,0)</f>
        <v>A010</v>
      </c>
      <c r="E11" t="str">
        <f>VLOOKUP(D:D,Appointment[#All],3,0)</f>
        <v>D003</v>
      </c>
      <c r="F11" t="str">
        <f>VLOOKUP(Belling[[#This Row],[Docter_id]],Doctor[#All],2,FALSE)</f>
        <v>Jane</v>
      </c>
      <c r="G11" s="1">
        <f>VLOOKUP(Belling[[#This Row],[Appointment ID]],Appointment[#All],5,FALSE)</f>
        <v>44939</v>
      </c>
      <c r="H11" s="1">
        <v>44939</v>
      </c>
      <c r="I11">
        <v>1595.67</v>
      </c>
      <c r="J11" t="s">
        <v>655</v>
      </c>
      <c r="K11" t="s">
        <v>647</v>
      </c>
      <c r="L11" t="str">
        <f>VLOOKUP(Belling[[#This Row],[patient_id]],Patient[#All],9,FALSE)</f>
        <v>MedCare Plus</v>
      </c>
      <c r="M11" t="str">
        <f t="shared" si="0"/>
        <v>Clear</v>
      </c>
      <c r="N11" t="str">
        <f>VLOOKUP(E:E,Doctor[#All],4,0)</f>
        <v>Pediatrics</v>
      </c>
      <c r="O11">
        <f t="shared" si="1"/>
        <v>0</v>
      </c>
      <c r="P11" s="15">
        <f>VLOOKUP(Belling[[#This Row],[patient_id]],Patient[#All],12,FALSE)</f>
        <v>2021</v>
      </c>
    </row>
    <row r="12" spans="1:16" x14ac:dyDescent="0.25">
      <c r="A12" t="s">
        <v>659</v>
      </c>
      <c r="B12" t="s">
        <v>513</v>
      </c>
      <c r="C12" t="s">
        <v>33</v>
      </c>
      <c r="D12" t="str">
        <f>VLOOKUP(C:C,Treatment[#All],2,0)</f>
        <v>A011</v>
      </c>
      <c r="E12" t="str">
        <f>VLOOKUP(D:D,Appointment[#All],3,0)</f>
        <v>D007</v>
      </c>
      <c r="F12" t="str">
        <f>VLOOKUP(Belling[[#This Row],[Docter_id]],Doctor[#All],2,FALSE)</f>
        <v>Robert</v>
      </c>
      <c r="G12" s="1">
        <f>VLOOKUP(Belling[[#This Row],[Appointment ID]],Appointment[#All],5,FALSE)</f>
        <v>45242</v>
      </c>
      <c r="H12" s="1">
        <v>45271</v>
      </c>
      <c r="I12">
        <v>4671.66</v>
      </c>
      <c r="J12" t="s">
        <v>655</v>
      </c>
      <c r="K12" t="s">
        <v>650</v>
      </c>
      <c r="L12" t="str">
        <f>VLOOKUP(Belling[[#This Row],[patient_id]],Patient[#All],9,FALSE)</f>
        <v>MedCare Plus</v>
      </c>
      <c r="M12" t="str">
        <f t="shared" si="0"/>
        <v>Check Required</v>
      </c>
      <c r="N12" t="str">
        <f>VLOOKUP(E:E,Doctor[#All],4,0)</f>
        <v>Oncology</v>
      </c>
      <c r="O12">
        <f t="shared" si="1"/>
        <v>29</v>
      </c>
      <c r="P12" s="15">
        <f>VLOOKUP(Belling[[#This Row],[patient_id]],Patient[#All],12,FALSE)</f>
        <v>2021</v>
      </c>
    </row>
    <row r="13" spans="1:16" x14ac:dyDescent="0.25">
      <c r="A13" t="s">
        <v>660</v>
      </c>
      <c r="B13" t="s">
        <v>537</v>
      </c>
      <c r="C13" t="s">
        <v>35</v>
      </c>
      <c r="D13" t="str">
        <f>VLOOKUP(C:C,Treatment[#All],2,0)</f>
        <v>A012</v>
      </c>
      <c r="E13" t="str">
        <f>VLOOKUP(D:D,Appointment[#All],3,0)</f>
        <v>D003</v>
      </c>
      <c r="F13" t="str">
        <f>VLOOKUP(Belling[[#This Row],[Docter_id]],Doctor[#All],2,FALSE)</f>
        <v>Jane</v>
      </c>
      <c r="G13" s="1">
        <f>VLOOKUP(Belling[[#This Row],[Appointment ID]],Appointment[#All],5,FALSE)</f>
        <v>45053</v>
      </c>
      <c r="H13" s="1">
        <v>45112</v>
      </c>
      <c r="I13">
        <v>771.2</v>
      </c>
      <c r="J13" t="s">
        <v>644</v>
      </c>
      <c r="K13" t="s">
        <v>645</v>
      </c>
      <c r="L13" t="str">
        <f>VLOOKUP(Belling[[#This Row],[patient_id]],Patient[#All],9,FALSE)</f>
        <v>HealthIndia</v>
      </c>
      <c r="M13" t="str">
        <f t="shared" si="0"/>
        <v>Check Required</v>
      </c>
      <c r="N13" t="str">
        <f>VLOOKUP(E:E,Doctor[#All],4,0)</f>
        <v>Pediatrics</v>
      </c>
      <c r="O13">
        <f t="shared" si="1"/>
        <v>59</v>
      </c>
      <c r="P13" s="15">
        <f>VLOOKUP(Belling[[#This Row],[patient_id]],Patient[#All],12,FALSE)</f>
        <v>2023</v>
      </c>
    </row>
    <row r="14" spans="1:16" x14ac:dyDescent="0.25">
      <c r="A14" t="s">
        <v>661</v>
      </c>
      <c r="B14" t="s">
        <v>440</v>
      </c>
      <c r="C14" t="s">
        <v>37</v>
      </c>
      <c r="D14" t="str">
        <f>VLOOKUP(C:C,Treatment[#All],2,0)</f>
        <v>A013</v>
      </c>
      <c r="E14" t="str">
        <f>VLOOKUP(D:D,Appointment[#All],3,0)</f>
        <v>D002</v>
      </c>
      <c r="F14" t="str">
        <f>VLOOKUP(Belling[[#This Row],[Docter_id]],Doctor[#All],2,FALSE)</f>
        <v>Jane</v>
      </c>
      <c r="G14" s="1">
        <f>VLOOKUP(Belling[[#This Row],[Appointment ID]],Appointment[#All],5,FALSE)</f>
        <v>45154</v>
      </c>
      <c r="H14" s="1">
        <v>45154</v>
      </c>
      <c r="I14">
        <v>4704.96</v>
      </c>
      <c r="J14" t="s">
        <v>655</v>
      </c>
      <c r="K14" t="s">
        <v>647</v>
      </c>
      <c r="L14" t="str">
        <f>VLOOKUP(Belling[[#This Row],[patient_id]],Patient[#All],9,FALSE)</f>
        <v>PulseSecure</v>
      </c>
      <c r="M14" t="str">
        <f t="shared" si="0"/>
        <v>Clear</v>
      </c>
      <c r="N14" t="str">
        <f>VLOOKUP(E:E,Doctor[#All],4,0)</f>
        <v>Pediatrics</v>
      </c>
      <c r="O14">
        <f t="shared" si="1"/>
        <v>0</v>
      </c>
      <c r="P14" s="15">
        <f>VLOOKUP(Belling[[#This Row],[patient_id]],Patient[#All],12,FALSE)</f>
        <v>2022</v>
      </c>
    </row>
    <row r="15" spans="1:16" x14ac:dyDescent="0.25">
      <c r="A15" t="s">
        <v>662</v>
      </c>
      <c r="B15" t="s">
        <v>481</v>
      </c>
      <c r="C15" t="s">
        <v>39</v>
      </c>
      <c r="D15" t="str">
        <f>VLOOKUP(C:C,Treatment[#All],2,0)</f>
        <v>A014</v>
      </c>
      <c r="E15" t="str">
        <f>VLOOKUP(D:D,Appointment[#All],3,0)</f>
        <v>D010</v>
      </c>
      <c r="F15" t="str">
        <f>VLOOKUP(Belling[[#This Row],[Docter_id]],Doctor[#All],2,FALSE)</f>
        <v>Linda</v>
      </c>
      <c r="G15" s="1">
        <f>VLOOKUP(Belling[[#This Row],[Appointment ID]],Appointment[#All],5,FALSE)</f>
        <v>45071</v>
      </c>
      <c r="H15" s="1">
        <v>45071</v>
      </c>
      <c r="I15">
        <v>2082.3000000000002</v>
      </c>
      <c r="J15" t="s">
        <v>652</v>
      </c>
      <c r="K15" t="s">
        <v>647</v>
      </c>
      <c r="L15" t="str">
        <f>VLOOKUP(Belling[[#This Row],[patient_id]],Patient[#All],9,FALSE)</f>
        <v>MedCare Plus</v>
      </c>
      <c r="M15" t="str">
        <f t="shared" si="0"/>
        <v>Clear</v>
      </c>
      <c r="N15" t="str">
        <f>VLOOKUP(E:E,Doctor[#All],4,0)</f>
        <v>Oncology</v>
      </c>
      <c r="O15">
        <f t="shared" si="1"/>
        <v>0</v>
      </c>
      <c r="P15" s="15">
        <f>VLOOKUP(Belling[[#This Row],[patient_id]],Patient[#All],12,FALSE)</f>
        <v>2023</v>
      </c>
    </row>
    <row r="16" spans="1:16" x14ac:dyDescent="0.25">
      <c r="A16" t="s">
        <v>663</v>
      </c>
      <c r="B16" t="s">
        <v>528</v>
      </c>
      <c r="C16" t="s">
        <v>41</v>
      </c>
      <c r="D16" t="str">
        <f>VLOOKUP(C:C,Treatment[#All],2,0)</f>
        <v>A015</v>
      </c>
      <c r="E16" t="str">
        <f>VLOOKUP(D:D,Appointment[#All],3,0)</f>
        <v>D004</v>
      </c>
      <c r="F16" t="str">
        <f>VLOOKUP(Belling[[#This Row],[Docter_id]],Doctor[#All],2,FALSE)</f>
        <v>David</v>
      </c>
      <c r="G16" s="1">
        <f>VLOOKUP(Belling[[#This Row],[Appointment ID]],Appointment[#All],5,FALSE)</f>
        <v>44941</v>
      </c>
      <c r="H16" s="1">
        <v>44941</v>
      </c>
      <c r="I16">
        <v>956.39</v>
      </c>
      <c r="J16" t="s">
        <v>644</v>
      </c>
      <c r="K16" t="s">
        <v>645</v>
      </c>
      <c r="L16" t="str">
        <f>VLOOKUP(Belling[[#This Row],[patient_id]],Patient[#All],9,FALSE)</f>
        <v>MedCare Plus</v>
      </c>
      <c r="M16" t="str">
        <f t="shared" si="0"/>
        <v>Check Required</v>
      </c>
      <c r="N16" t="str">
        <f>VLOOKUP(E:E,Doctor[#All],4,0)</f>
        <v>Pediatrics</v>
      </c>
      <c r="O16">
        <f t="shared" si="1"/>
        <v>0</v>
      </c>
      <c r="P16" s="15">
        <f>VLOOKUP(Belling[[#This Row],[patient_id]],Patient[#All],12,FALSE)</f>
        <v>2021</v>
      </c>
    </row>
    <row r="17" spans="1:16" x14ac:dyDescent="0.25">
      <c r="A17" t="s">
        <v>664</v>
      </c>
      <c r="B17" t="s">
        <v>493</v>
      </c>
      <c r="C17" t="s">
        <v>43</v>
      </c>
      <c r="D17" t="str">
        <f>VLOOKUP(C:C,Treatment[#All],2,0)</f>
        <v>A016</v>
      </c>
      <c r="E17" t="str">
        <f>VLOOKUP(D:D,Appointment[#All],3,0)</f>
        <v>D008</v>
      </c>
      <c r="F17" t="str">
        <f>VLOOKUP(Belling[[#This Row],[Docter_id]],Doctor[#All],2,FALSE)</f>
        <v>Linda</v>
      </c>
      <c r="G17" s="1">
        <f>VLOOKUP(Belling[[#This Row],[Appointment ID]],Appointment[#All],5,FALSE)</f>
        <v>45107</v>
      </c>
      <c r="H17" s="1">
        <v>45107</v>
      </c>
      <c r="I17">
        <v>2686.42</v>
      </c>
      <c r="J17" t="s">
        <v>644</v>
      </c>
      <c r="K17" t="s">
        <v>647</v>
      </c>
      <c r="L17" t="str">
        <f>VLOOKUP(Belling[[#This Row],[patient_id]],Patient[#All],9,FALSE)</f>
        <v>PulseSecure</v>
      </c>
      <c r="M17" t="str">
        <f t="shared" si="0"/>
        <v>Clear</v>
      </c>
      <c r="N17" t="str">
        <f>VLOOKUP(E:E,Doctor[#All],4,0)</f>
        <v>Dermatology</v>
      </c>
      <c r="O17">
        <f t="shared" si="1"/>
        <v>0</v>
      </c>
      <c r="P17" s="15">
        <f>VLOOKUP(Belling[[#This Row],[patient_id]],Patient[#All],12,FALSE)</f>
        <v>2021</v>
      </c>
    </row>
    <row r="18" spans="1:16" x14ac:dyDescent="0.25">
      <c r="A18" t="s">
        <v>665</v>
      </c>
      <c r="B18" t="s">
        <v>557</v>
      </c>
      <c r="C18" t="s">
        <v>45</v>
      </c>
      <c r="D18" t="str">
        <f>VLOOKUP(C:C,Treatment[#All],2,0)</f>
        <v>A017</v>
      </c>
      <c r="E18" t="str">
        <f>VLOOKUP(D:D,Appointment[#All],3,0)</f>
        <v>D009</v>
      </c>
      <c r="F18" t="str">
        <f>VLOOKUP(Belling[[#This Row],[Docter_id]],Doctor[#All],2,FALSE)</f>
        <v>Sarah</v>
      </c>
      <c r="G18" s="1">
        <f>VLOOKUP(Belling[[#This Row],[Appointment ID]],Appointment[#All],5,FALSE)</f>
        <v>45118</v>
      </c>
      <c r="H18" s="1">
        <v>45237</v>
      </c>
      <c r="I18">
        <v>1655.49</v>
      </c>
      <c r="J18" t="s">
        <v>652</v>
      </c>
      <c r="K18" t="s">
        <v>645</v>
      </c>
      <c r="L18" t="str">
        <f>VLOOKUP(Belling[[#This Row],[patient_id]],Patient[#All],9,FALSE)</f>
        <v>HealthIndia</v>
      </c>
      <c r="M18" t="str">
        <f t="shared" si="0"/>
        <v>Check Required</v>
      </c>
      <c r="N18" t="str">
        <f>VLOOKUP(E:E,Doctor[#All],4,0)</f>
        <v>Pediatrics</v>
      </c>
      <c r="O18">
        <f t="shared" si="1"/>
        <v>119</v>
      </c>
      <c r="P18" s="15">
        <f>VLOOKUP(Belling[[#This Row],[patient_id]],Patient[#All],12,FALSE)</f>
        <v>2021</v>
      </c>
    </row>
    <row r="19" spans="1:16" x14ac:dyDescent="0.25">
      <c r="A19" t="s">
        <v>666</v>
      </c>
      <c r="B19" t="s">
        <v>513</v>
      </c>
      <c r="C19" t="s">
        <v>47</v>
      </c>
      <c r="D19" t="str">
        <f>VLOOKUP(C:C,Treatment[#All],2,0)</f>
        <v>A018</v>
      </c>
      <c r="E19" t="str">
        <f>VLOOKUP(D:D,Appointment[#All],3,0)</f>
        <v>D007</v>
      </c>
      <c r="F19" t="str">
        <f>VLOOKUP(Belling[[#This Row],[Docter_id]],Doctor[#All],2,FALSE)</f>
        <v>Robert</v>
      </c>
      <c r="G19" s="1">
        <f>VLOOKUP(Belling[[#This Row],[Appointment ID]],Appointment[#All],5,FALSE)</f>
        <v>45244</v>
      </c>
      <c r="H19" s="1">
        <v>45244</v>
      </c>
      <c r="I19">
        <v>1781.93</v>
      </c>
      <c r="J19" t="s">
        <v>644</v>
      </c>
      <c r="K19" t="s">
        <v>645</v>
      </c>
      <c r="L19" t="str">
        <f>VLOOKUP(Belling[[#This Row],[patient_id]],Patient[#All],9,FALSE)</f>
        <v>MedCare Plus</v>
      </c>
      <c r="M19" t="str">
        <f t="shared" si="0"/>
        <v>Check Required</v>
      </c>
      <c r="N19" t="str">
        <f>VLOOKUP(E:E,Doctor[#All],4,0)</f>
        <v>Oncology</v>
      </c>
      <c r="O19">
        <f t="shared" si="1"/>
        <v>0</v>
      </c>
      <c r="P19" s="15">
        <f>VLOOKUP(Belling[[#This Row],[patient_id]],Patient[#All],12,FALSE)</f>
        <v>2021</v>
      </c>
    </row>
    <row r="20" spans="1:16" x14ac:dyDescent="0.25">
      <c r="A20" t="s">
        <v>667</v>
      </c>
      <c r="B20" t="s">
        <v>537</v>
      </c>
      <c r="C20" t="s">
        <v>49</v>
      </c>
      <c r="D20" t="str">
        <f>VLOOKUP(C:C,Treatment[#All],2,0)</f>
        <v>A019</v>
      </c>
      <c r="E20" t="str">
        <f>VLOOKUP(D:D,Appointment[#All],3,0)</f>
        <v>D001</v>
      </c>
      <c r="F20" t="str">
        <f>VLOOKUP(Belling[[#This Row],[Docter_id]],Doctor[#All],2,FALSE)</f>
        <v>David</v>
      </c>
      <c r="G20" s="1">
        <f>VLOOKUP(Belling[[#This Row],[Appointment ID]],Appointment[#All],5,FALSE)</f>
        <v>44963</v>
      </c>
      <c r="H20" s="1">
        <v>45079</v>
      </c>
      <c r="I20">
        <v>1882.8</v>
      </c>
      <c r="J20" t="s">
        <v>644</v>
      </c>
      <c r="K20" t="s">
        <v>645</v>
      </c>
      <c r="L20" t="str">
        <f>VLOOKUP(Belling[[#This Row],[patient_id]],Patient[#All],9,FALSE)</f>
        <v>HealthIndia</v>
      </c>
      <c r="M20" t="str">
        <f t="shared" si="0"/>
        <v>Check Required</v>
      </c>
      <c r="N20" t="str">
        <f>VLOOKUP(E:E,Doctor[#All],4,0)</f>
        <v>Dermatology</v>
      </c>
      <c r="O20">
        <f t="shared" si="1"/>
        <v>116</v>
      </c>
      <c r="P20" s="15">
        <f>VLOOKUP(Belling[[#This Row],[patient_id]],Patient[#All],12,FALSE)</f>
        <v>2023</v>
      </c>
    </row>
    <row r="21" spans="1:16" x14ac:dyDescent="0.25">
      <c r="A21" t="s">
        <v>668</v>
      </c>
      <c r="B21" t="s">
        <v>486</v>
      </c>
      <c r="C21" t="s">
        <v>52</v>
      </c>
      <c r="D21" t="str">
        <f>VLOOKUP(C:C,Treatment[#All],2,0)</f>
        <v>A020</v>
      </c>
      <c r="E21" t="str">
        <f>VLOOKUP(D:D,Appointment[#All],3,0)</f>
        <v>D003</v>
      </c>
      <c r="F21" t="str">
        <f>VLOOKUP(Belling[[#This Row],[Docter_id]],Doctor[#All],2,FALSE)</f>
        <v>Jane</v>
      </c>
      <c r="G21" s="1">
        <f>VLOOKUP(Belling[[#This Row],[Appointment ID]],Appointment[#All],5,FALSE)</f>
        <v>45265</v>
      </c>
      <c r="H21" s="1">
        <v>45058</v>
      </c>
      <c r="I21">
        <v>4113.62</v>
      </c>
      <c r="J21" t="s">
        <v>652</v>
      </c>
      <c r="K21" t="s">
        <v>650</v>
      </c>
      <c r="L21" t="str">
        <f>VLOOKUP(Belling[[#This Row],[patient_id]],Patient[#All],9,FALSE)</f>
        <v>MedCare Plus</v>
      </c>
      <c r="M21" t="str">
        <f t="shared" si="0"/>
        <v>Check Required</v>
      </c>
      <c r="N21" t="str">
        <f>VLOOKUP(E:E,Doctor[#All],4,0)</f>
        <v>Pediatrics</v>
      </c>
      <c r="O21">
        <f t="shared" si="1"/>
        <v>-207</v>
      </c>
      <c r="P21" s="15">
        <f>VLOOKUP(Belling[[#This Row],[patient_id]],Patient[#All],12,FALSE)</f>
        <v>2023</v>
      </c>
    </row>
    <row r="22" spans="1:16" x14ac:dyDescent="0.25">
      <c r="A22" t="s">
        <v>669</v>
      </c>
      <c r="B22" t="s">
        <v>534</v>
      </c>
      <c r="C22" t="s">
        <v>54</v>
      </c>
      <c r="D22" t="str">
        <f>VLOOKUP(C:C,Treatment[#All],2,0)</f>
        <v>A021</v>
      </c>
      <c r="E22" t="str">
        <f>VLOOKUP(D:D,Appointment[#All],3,0)</f>
        <v>D009</v>
      </c>
      <c r="F22" t="str">
        <f>VLOOKUP(Belling[[#This Row],[Docter_id]],Doctor[#All],2,FALSE)</f>
        <v>Sarah</v>
      </c>
      <c r="G22" s="1">
        <f>VLOOKUP(Belling[[#This Row],[Appointment ID]],Appointment[#All],5,FALSE)</f>
        <v>45040</v>
      </c>
      <c r="H22" s="1">
        <v>45040</v>
      </c>
      <c r="I22">
        <v>2926.23</v>
      </c>
      <c r="J22" t="s">
        <v>644</v>
      </c>
      <c r="K22" t="s">
        <v>650</v>
      </c>
      <c r="L22" t="str">
        <f>VLOOKUP(Belling[[#This Row],[patient_id]],Patient[#All],9,FALSE)</f>
        <v>MedCare Plus</v>
      </c>
      <c r="M22" t="str">
        <f t="shared" si="0"/>
        <v>Check Required</v>
      </c>
      <c r="N22" t="str">
        <f>VLOOKUP(E:E,Doctor[#All],4,0)</f>
        <v>Pediatrics</v>
      </c>
      <c r="O22">
        <f t="shared" si="1"/>
        <v>0</v>
      </c>
      <c r="P22" s="15">
        <f>VLOOKUP(Belling[[#This Row],[patient_id]],Patient[#All],12,FALSE)</f>
        <v>2023</v>
      </c>
    </row>
    <row r="23" spans="1:16" x14ac:dyDescent="0.25">
      <c r="A23" t="s">
        <v>670</v>
      </c>
      <c r="B23" t="s">
        <v>453</v>
      </c>
      <c r="C23" t="s">
        <v>56</v>
      </c>
      <c r="D23" t="str">
        <f>VLOOKUP(C:C,Treatment[#All],2,0)</f>
        <v>A022</v>
      </c>
      <c r="E23" t="str">
        <f>VLOOKUP(D:D,Appointment[#All],3,0)</f>
        <v>D001</v>
      </c>
      <c r="F23" t="str">
        <f>VLOOKUP(Belling[[#This Row],[Docter_id]],Doctor[#All],2,FALSE)</f>
        <v>David</v>
      </c>
      <c r="G23" s="1">
        <f>VLOOKUP(Belling[[#This Row],[Appointment ID]],Appointment[#All],5,FALSE)</f>
        <v>45244</v>
      </c>
      <c r="H23" s="1">
        <v>45244</v>
      </c>
      <c r="I23">
        <v>1900.88</v>
      </c>
      <c r="J23" t="s">
        <v>652</v>
      </c>
      <c r="K23" t="s">
        <v>650</v>
      </c>
      <c r="L23" t="str">
        <f>VLOOKUP(Belling[[#This Row],[patient_id]],Patient[#All],9,FALSE)</f>
        <v>MedCare Plus</v>
      </c>
      <c r="M23" t="str">
        <f t="shared" si="0"/>
        <v>Check Required</v>
      </c>
      <c r="N23" t="str">
        <f>VLOOKUP(E:E,Doctor[#All],4,0)</f>
        <v>Dermatology</v>
      </c>
      <c r="O23">
        <f t="shared" si="1"/>
        <v>0</v>
      </c>
      <c r="P23" s="15">
        <f>VLOOKUP(Belling[[#This Row],[patient_id]],Patient[#All],12,FALSE)</f>
        <v>2021</v>
      </c>
    </row>
    <row r="24" spans="1:16" x14ac:dyDescent="0.25">
      <c r="A24" t="s">
        <v>671</v>
      </c>
      <c r="B24" t="s">
        <v>584</v>
      </c>
      <c r="C24" t="s">
        <v>58</v>
      </c>
      <c r="D24" t="str">
        <f>VLOOKUP(C:C,Treatment[#All],2,0)</f>
        <v>A023</v>
      </c>
      <c r="E24" t="str">
        <f>VLOOKUP(D:D,Appointment[#All],3,0)</f>
        <v>D009</v>
      </c>
      <c r="F24" t="str">
        <f>VLOOKUP(Belling[[#This Row],[Docter_id]],Doctor[#All],2,FALSE)</f>
        <v>Sarah</v>
      </c>
      <c r="G24" s="1">
        <f>VLOOKUP(Belling[[#This Row],[Appointment ID]],Appointment[#All],5,FALSE)</f>
        <v>45055</v>
      </c>
      <c r="H24" s="1">
        <v>45174</v>
      </c>
      <c r="I24">
        <v>3246.5</v>
      </c>
      <c r="J24" t="s">
        <v>652</v>
      </c>
      <c r="K24" t="s">
        <v>645</v>
      </c>
      <c r="L24" t="str">
        <f>VLOOKUP(Belling[[#This Row],[patient_id]],Patient[#All],9,FALSE)</f>
        <v>WellnessCorp</v>
      </c>
      <c r="M24" t="str">
        <f t="shared" si="0"/>
        <v>Check Required</v>
      </c>
      <c r="N24" t="str">
        <f>VLOOKUP(E:E,Doctor[#All],4,0)</f>
        <v>Pediatrics</v>
      </c>
      <c r="O24">
        <f t="shared" si="1"/>
        <v>119</v>
      </c>
      <c r="P24" s="15">
        <f>VLOOKUP(Belling[[#This Row],[patient_id]],Patient[#All],12,FALSE)</f>
        <v>2022</v>
      </c>
    </row>
    <row r="25" spans="1:16" x14ac:dyDescent="0.25">
      <c r="A25" t="s">
        <v>672</v>
      </c>
      <c r="B25" t="s">
        <v>589</v>
      </c>
      <c r="C25" t="s">
        <v>60</v>
      </c>
      <c r="D25" t="str">
        <f>VLOOKUP(C:C,Treatment[#All],2,0)</f>
        <v>A024</v>
      </c>
      <c r="E25" t="str">
        <f>VLOOKUP(D:D,Appointment[#All],3,0)</f>
        <v>D008</v>
      </c>
      <c r="F25" t="str">
        <f>VLOOKUP(Belling[[#This Row],[Docter_id]],Doctor[#All],2,FALSE)</f>
        <v>Linda</v>
      </c>
      <c r="G25" s="1">
        <f>VLOOKUP(Belling[[#This Row],[Appointment ID]],Appointment[#All],5,FALSE)</f>
        <v>45098</v>
      </c>
      <c r="H25" s="1">
        <v>45098</v>
      </c>
      <c r="I25">
        <v>3722.68</v>
      </c>
      <c r="J25" t="s">
        <v>655</v>
      </c>
      <c r="K25" t="s">
        <v>645</v>
      </c>
      <c r="L25" t="str">
        <f>VLOOKUP(Belling[[#This Row],[patient_id]],Patient[#All],9,FALSE)</f>
        <v>MedCare Plus</v>
      </c>
      <c r="M25" t="str">
        <f t="shared" si="0"/>
        <v>Check Required</v>
      </c>
      <c r="N25" t="str">
        <f>VLOOKUP(E:E,Doctor[#All],4,0)</f>
        <v>Dermatology</v>
      </c>
      <c r="O25">
        <f t="shared" si="1"/>
        <v>0</v>
      </c>
      <c r="P25" s="15">
        <f>VLOOKUP(Belling[[#This Row],[patient_id]],Patient[#All],12,FALSE)</f>
        <v>2023</v>
      </c>
    </row>
    <row r="26" spans="1:16" x14ac:dyDescent="0.25">
      <c r="A26" t="s">
        <v>673</v>
      </c>
      <c r="B26" t="s">
        <v>540</v>
      </c>
      <c r="C26" t="s">
        <v>62</v>
      </c>
      <c r="D26" t="str">
        <f>VLOOKUP(C:C,Treatment[#All],2,0)</f>
        <v>A025</v>
      </c>
      <c r="E26" t="str">
        <f>VLOOKUP(D:D,Appointment[#All],3,0)</f>
        <v>D001</v>
      </c>
      <c r="F26" t="str">
        <f>VLOOKUP(Belling[[#This Row],[Docter_id]],Doctor[#All],2,FALSE)</f>
        <v>David</v>
      </c>
      <c r="G26" s="1">
        <f>VLOOKUP(Belling[[#This Row],[Appointment ID]],Appointment[#All],5,FALSE)</f>
        <v>44982</v>
      </c>
      <c r="H26" s="1">
        <v>44982</v>
      </c>
      <c r="I26">
        <v>1726.81</v>
      </c>
      <c r="J26" t="s">
        <v>655</v>
      </c>
      <c r="K26" t="s">
        <v>650</v>
      </c>
      <c r="L26" t="str">
        <f>VLOOKUP(Belling[[#This Row],[patient_id]],Patient[#All],9,FALSE)</f>
        <v>PulseSecure</v>
      </c>
      <c r="M26" t="str">
        <f t="shared" si="0"/>
        <v>Check Required</v>
      </c>
      <c r="N26" t="str">
        <f>VLOOKUP(E:E,Doctor[#All],4,0)</f>
        <v>Dermatology</v>
      </c>
      <c r="O26">
        <f t="shared" si="1"/>
        <v>0</v>
      </c>
      <c r="P26" s="15">
        <f>VLOOKUP(Belling[[#This Row],[patient_id]],Patient[#All],12,FALSE)</f>
        <v>2021</v>
      </c>
    </row>
    <row r="27" spans="1:16" x14ac:dyDescent="0.25">
      <c r="A27" t="s">
        <v>674</v>
      </c>
      <c r="B27" t="s">
        <v>582</v>
      </c>
      <c r="C27" t="s">
        <v>64</v>
      </c>
      <c r="D27" t="str">
        <f>VLOOKUP(C:C,Treatment[#All],2,0)</f>
        <v>A026</v>
      </c>
      <c r="E27" t="str">
        <f>VLOOKUP(D:D,Appointment[#All],3,0)</f>
        <v>D006</v>
      </c>
      <c r="F27" t="str">
        <f>VLOOKUP(Belling[[#This Row],[Docter_id]],Doctor[#All],2,FALSE)</f>
        <v>Alex</v>
      </c>
      <c r="G27" s="1">
        <f>VLOOKUP(Belling[[#This Row],[Appointment ID]],Appointment[#All],5,FALSE)</f>
        <v>45002</v>
      </c>
      <c r="H27" s="1">
        <v>45002</v>
      </c>
      <c r="I27">
        <v>2360.9699999999998</v>
      </c>
      <c r="J27" t="s">
        <v>644</v>
      </c>
      <c r="K27" t="s">
        <v>647</v>
      </c>
      <c r="L27" t="str">
        <f>VLOOKUP(Belling[[#This Row],[patient_id]],Patient[#All],9,FALSE)</f>
        <v>MedCare Plus</v>
      </c>
      <c r="M27" t="str">
        <f t="shared" si="0"/>
        <v>Clear</v>
      </c>
      <c r="N27" t="str">
        <f>VLOOKUP(E:E,Doctor[#All],4,0)</f>
        <v>Pediatrics</v>
      </c>
      <c r="O27">
        <f t="shared" si="1"/>
        <v>0</v>
      </c>
      <c r="P27" s="15">
        <f>VLOOKUP(Belling[[#This Row],[patient_id]],Patient[#All],12,FALSE)</f>
        <v>2021</v>
      </c>
    </row>
    <row r="28" spans="1:16" x14ac:dyDescent="0.25">
      <c r="A28" t="s">
        <v>675</v>
      </c>
      <c r="B28" t="s">
        <v>453</v>
      </c>
      <c r="C28" t="s">
        <v>66</v>
      </c>
      <c r="D28" t="str">
        <f>VLOOKUP(C:C,Treatment[#All],2,0)</f>
        <v>A027</v>
      </c>
      <c r="E28" t="str">
        <f>VLOOKUP(D:D,Appointment[#All],3,0)</f>
        <v>D005</v>
      </c>
      <c r="F28" t="str">
        <f>VLOOKUP(Belling[[#This Row],[Docter_id]],Doctor[#All],2,FALSE)</f>
        <v>Sarah</v>
      </c>
      <c r="G28" s="1">
        <f>VLOOKUP(Belling[[#This Row],[Appointment ID]],Appointment[#All],5,FALSE)</f>
        <v>45244</v>
      </c>
      <c r="H28" s="1">
        <v>45244</v>
      </c>
      <c r="I28">
        <v>1048.49</v>
      </c>
      <c r="J28" t="s">
        <v>644</v>
      </c>
      <c r="K28" t="s">
        <v>645</v>
      </c>
      <c r="L28" t="str">
        <f>VLOOKUP(Belling[[#This Row],[patient_id]],Patient[#All],9,FALSE)</f>
        <v>MedCare Plus</v>
      </c>
      <c r="M28" t="str">
        <f t="shared" si="0"/>
        <v>Check Required</v>
      </c>
      <c r="N28" t="str">
        <f>VLOOKUP(E:E,Doctor[#All],4,0)</f>
        <v>Dermatology</v>
      </c>
      <c r="O28">
        <f t="shared" si="1"/>
        <v>0</v>
      </c>
      <c r="P28" s="15">
        <f>VLOOKUP(Belling[[#This Row],[patient_id]],Patient[#All],12,FALSE)</f>
        <v>2021</v>
      </c>
    </row>
    <row r="29" spans="1:16" x14ac:dyDescent="0.25">
      <c r="A29" t="s">
        <v>676</v>
      </c>
      <c r="B29" t="s">
        <v>481</v>
      </c>
      <c r="C29" t="s">
        <v>68</v>
      </c>
      <c r="D29" t="str">
        <f>VLOOKUP(C:C,Treatment[#All],2,0)</f>
        <v>A028</v>
      </c>
      <c r="E29" t="str">
        <f>VLOOKUP(D:D,Appointment[#All],3,0)</f>
        <v>D006</v>
      </c>
      <c r="F29" t="str">
        <f>VLOOKUP(Belling[[#This Row],[Docter_id]],Doctor[#All],2,FALSE)</f>
        <v>Alex</v>
      </c>
      <c r="G29" s="1">
        <f>VLOOKUP(Belling[[#This Row],[Appointment ID]],Appointment[#All],5,FALSE)</f>
        <v>45228</v>
      </c>
      <c r="H29" s="1">
        <v>45228</v>
      </c>
      <c r="I29">
        <v>1315.17</v>
      </c>
      <c r="J29" t="s">
        <v>652</v>
      </c>
      <c r="K29" t="s">
        <v>647</v>
      </c>
      <c r="L29" t="str">
        <f>VLOOKUP(Belling[[#This Row],[patient_id]],Patient[#All],9,FALSE)</f>
        <v>MedCare Plus</v>
      </c>
      <c r="M29" t="str">
        <f t="shared" si="0"/>
        <v>Clear</v>
      </c>
      <c r="N29" t="str">
        <f>VLOOKUP(E:E,Doctor[#All],4,0)</f>
        <v>Pediatrics</v>
      </c>
      <c r="O29">
        <f t="shared" si="1"/>
        <v>0</v>
      </c>
      <c r="P29" s="15">
        <f>VLOOKUP(Belling[[#This Row],[patient_id]],Patient[#All],12,FALSE)</f>
        <v>2023</v>
      </c>
    </row>
    <row r="30" spans="1:16" x14ac:dyDescent="0.25">
      <c r="A30" t="s">
        <v>677</v>
      </c>
      <c r="B30" t="s">
        <v>493</v>
      </c>
      <c r="C30" t="s">
        <v>70</v>
      </c>
      <c r="D30" t="str">
        <f>VLOOKUP(C:C,Treatment[#All],2,0)</f>
        <v>A029</v>
      </c>
      <c r="E30" t="str">
        <f>VLOOKUP(D:D,Appointment[#All],3,0)</f>
        <v>D010</v>
      </c>
      <c r="F30" t="str">
        <f>VLOOKUP(Belling[[#This Row],[Docter_id]],Doctor[#All],2,FALSE)</f>
        <v>Linda</v>
      </c>
      <c r="G30" s="1">
        <f>VLOOKUP(Belling[[#This Row],[Appointment ID]],Appointment[#All],5,FALSE)</f>
        <v>45102</v>
      </c>
      <c r="H30" s="1">
        <v>45102</v>
      </c>
      <c r="I30">
        <v>3565.03</v>
      </c>
      <c r="J30" t="s">
        <v>644</v>
      </c>
      <c r="K30" t="s">
        <v>647</v>
      </c>
      <c r="L30" t="str">
        <f>VLOOKUP(Belling[[#This Row],[patient_id]],Patient[#All],9,FALSE)</f>
        <v>PulseSecure</v>
      </c>
      <c r="M30" t="str">
        <f t="shared" si="0"/>
        <v>Clear</v>
      </c>
      <c r="N30" t="str">
        <f>VLOOKUP(E:E,Doctor[#All],4,0)</f>
        <v>Oncology</v>
      </c>
      <c r="O30">
        <f t="shared" si="1"/>
        <v>0</v>
      </c>
      <c r="P30" s="15">
        <f>VLOOKUP(Belling[[#This Row],[patient_id]],Patient[#All],12,FALSE)</f>
        <v>2021</v>
      </c>
    </row>
    <row r="31" spans="1:16" x14ac:dyDescent="0.25">
      <c r="A31" t="s">
        <v>678</v>
      </c>
      <c r="B31" t="s">
        <v>528</v>
      </c>
      <c r="C31" t="s">
        <v>72</v>
      </c>
      <c r="D31" t="str">
        <f>VLOOKUP(C:C,Treatment[#All],2,0)</f>
        <v>A030</v>
      </c>
      <c r="E31" t="str">
        <f>VLOOKUP(D:D,Appointment[#All],3,0)</f>
        <v>D005</v>
      </c>
      <c r="F31" t="str">
        <f>VLOOKUP(Belling[[#This Row],[Docter_id]],Doctor[#All],2,FALSE)</f>
        <v>Sarah</v>
      </c>
      <c r="G31" s="1">
        <f>VLOOKUP(Belling[[#This Row],[Appointment ID]],Appointment[#All],5,FALSE)</f>
        <v>45167</v>
      </c>
      <c r="H31" s="1">
        <v>45167</v>
      </c>
      <c r="I31">
        <v>1316.47</v>
      </c>
      <c r="J31" t="s">
        <v>652</v>
      </c>
      <c r="K31" t="s">
        <v>645</v>
      </c>
      <c r="L31" t="str">
        <f>VLOOKUP(Belling[[#This Row],[patient_id]],Patient[#All],9,FALSE)</f>
        <v>MedCare Plus</v>
      </c>
      <c r="M31" t="str">
        <f t="shared" si="0"/>
        <v>Check Required</v>
      </c>
      <c r="N31" t="str">
        <f>VLOOKUP(E:E,Doctor[#All],4,0)</f>
        <v>Dermatology</v>
      </c>
      <c r="O31">
        <f t="shared" si="1"/>
        <v>0</v>
      </c>
      <c r="P31" s="15">
        <f>VLOOKUP(Belling[[#This Row],[patient_id]],Patient[#All],12,FALSE)</f>
        <v>2021</v>
      </c>
    </row>
    <row r="32" spans="1:16" x14ac:dyDescent="0.25">
      <c r="A32" t="s">
        <v>679</v>
      </c>
      <c r="B32" t="s">
        <v>528</v>
      </c>
      <c r="C32" t="s">
        <v>74</v>
      </c>
      <c r="D32" t="str">
        <f>VLOOKUP(C:C,Treatment[#All],2,0)</f>
        <v>A031</v>
      </c>
      <c r="E32" t="str">
        <f>VLOOKUP(D:D,Appointment[#All],3,0)</f>
        <v>D006</v>
      </c>
      <c r="F32" t="str">
        <f>VLOOKUP(Belling[[#This Row],[Docter_id]],Doctor[#All],2,FALSE)</f>
        <v>Alex</v>
      </c>
      <c r="G32" s="1">
        <f>VLOOKUP(Belling[[#This Row],[Appointment ID]],Appointment[#All],5,FALSE)</f>
        <v>45020</v>
      </c>
      <c r="H32" s="1">
        <v>45020</v>
      </c>
      <c r="I32">
        <v>2863.24</v>
      </c>
      <c r="J32" t="s">
        <v>652</v>
      </c>
      <c r="K32" t="s">
        <v>645</v>
      </c>
      <c r="L32" t="str">
        <f>VLOOKUP(Belling[[#This Row],[patient_id]],Patient[#All],9,FALSE)</f>
        <v>MedCare Plus</v>
      </c>
      <c r="M32" t="str">
        <f t="shared" si="0"/>
        <v>Check Required</v>
      </c>
      <c r="N32" t="str">
        <f>VLOOKUP(E:E,Doctor[#All],4,0)</f>
        <v>Pediatrics</v>
      </c>
      <c r="O32">
        <f t="shared" si="1"/>
        <v>0</v>
      </c>
      <c r="P32" s="15">
        <f>VLOOKUP(Belling[[#This Row],[patient_id]],Patient[#All],12,FALSE)</f>
        <v>2021</v>
      </c>
    </row>
    <row r="33" spans="1:16" x14ac:dyDescent="0.25">
      <c r="A33" t="s">
        <v>680</v>
      </c>
      <c r="B33" t="s">
        <v>586</v>
      </c>
      <c r="C33" t="s">
        <v>76</v>
      </c>
      <c r="D33" t="str">
        <f>VLOOKUP(C:C,Treatment[#All],2,0)</f>
        <v>A032</v>
      </c>
      <c r="E33" t="str">
        <f>VLOOKUP(D:D,Appointment[#All],3,0)</f>
        <v>D005</v>
      </c>
      <c r="F33" t="str">
        <f>VLOOKUP(Belling[[#This Row],[Docter_id]],Doctor[#All],2,FALSE)</f>
        <v>Sarah</v>
      </c>
      <c r="G33" s="1">
        <f>VLOOKUP(Belling[[#This Row],[Appointment ID]],Appointment[#All],5,FALSE)</f>
        <v>45236</v>
      </c>
      <c r="H33" s="1">
        <v>45088</v>
      </c>
      <c r="I33">
        <v>3690.71</v>
      </c>
      <c r="J33" t="s">
        <v>644</v>
      </c>
      <c r="K33" t="s">
        <v>647</v>
      </c>
      <c r="L33" t="str">
        <f>VLOOKUP(Belling[[#This Row],[patient_id]],Patient[#All],9,FALSE)</f>
        <v>PulseSecure</v>
      </c>
      <c r="M33" t="str">
        <f t="shared" si="0"/>
        <v>Clear</v>
      </c>
      <c r="N33" t="str">
        <f>VLOOKUP(E:E,Doctor[#All],4,0)</f>
        <v>Dermatology</v>
      </c>
      <c r="O33">
        <f t="shared" si="1"/>
        <v>-148</v>
      </c>
      <c r="P33" s="15">
        <f>VLOOKUP(Belling[[#This Row],[patient_id]],Patient[#All],12,FALSE)</f>
        <v>2023</v>
      </c>
    </row>
    <row r="34" spans="1:16" x14ac:dyDescent="0.25">
      <c r="A34" t="s">
        <v>681</v>
      </c>
      <c r="B34" t="s">
        <v>510</v>
      </c>
      <c r="C34" t="s">
        <v>78</v>
      </c>
      <c r="D34" t="str">
        <f>VLOOKUP(C:C,Treatment[#All],2,0)</f>
        <v>A033</v>
      </c>
      <c r="E34" t="str">
        <f>VLOOKUP(D:D,Appointment[#All],3,0)</f>
        <v>D005</v>
      </c>
      <c r="F34" t="str">
        <f>VLOOKUP(Belling[[#This Row],[Docter_id]],Doctor[#All],2,FALSE)</f>
        <v>Sarah</v>
      </c>
      <c r="G34" s="1">
        <f>VLOOKUP(Belling[[#This Row],[Appointment ID]],Appointment[#All],5,FALSE)</f>
        <v>45192</v>
      </c>
      <c r="H34" s="1">
        <v>45192</v>
      </c>
      <c r="I34">
        <v>980.95</v>
      </c>
      <c r="J34" t="s">
        <v>652</v>
      </c>
      <c r="K34" t="s">
        <v>647</v>
      </c>
      <c r="L34" t="str">
        <f>VLOOKUP(Belling[[#This Row],[patient_id]],Patient[#All],9,FALSE)</f>
        <v>WellnessCorp</v>
      </c>
      <c r="M34" t="str">
        <f t="shared" ref="M34:M65" si="2">IF(OR(K34="Failed", K34="Pending"), "Check Required", "Clear")</f>
        <v>Clear</v>
      </c>
      <c r="N34" t="str">
        <f>VLOOKUP(E:E,Doctor[#All],4,0)</f>
        <v>Dermatology</v>
      </c>
      <c r="O34">
        <f t="shared" si="1"/>
        <v>0</v>
      </c>
      <c r="P34" s="15">
        <f>VLOOKUP(Belling[[#This Row],[patient_id]],Patient[#All],12,FALSE)</f>
        <v>2022</v>
      </c>
    </row>
    <row r="35" spans="1:16" x14ac:dyDescent="0.25">
      <c r="A35" t="s">
        <v>682</v>
      </c>
      <c r="B35" t="s">
        <v>562</v>
      </c>
      <c r="C35" t="s">
        <v>80</v>
      </c>
      <c r="D35" t="str">
        <f>VLOOKUP(C:C,Treatment[#All],2,0)</f>
        <v>A034</v>
      </c>
      <c r="E35" t="str">
        <f>VLOOKUP(D:D,Appointment[#All],3,0)</f>
        <v>D004</v>
      </c>
      <c r="F35" t="str">
        <f>VLOOKUP(Belling[[#This Row],[Docter_id]],Doctor[#All],2,FALSE)</f>
        <v>David</v>
      </c>
      <c r="G35" s="1">
        <f>VLOOKUP(Belling[[#This Row],[Appointment ID]],Appointment[#All],5,FALSE)</f>
        <v>45090</v>
      </c>
      <c r="H35" s="1">
        <v>45090</v>
      </c>
      <c r="I35">
        <v>3052.9</v>
      </c>
      <c r="J35" t="s">
        <v>655</v>
      </c>
      <c r="K35" t="s">
        <v>650</v>
      </c>
      <c r="L35" t="str">
        <f>VLOOKUP(Belling[[#This Row],[patient_id]],Patient[#All],9,FALSE)</f>
        <v>PulseSecure</v>
      </c>
      <c r="M35" t="str">
        <f t="shared" si="2"/>
        <v>Check Required</v>
      </c>
      <c r="N35" t="str">
        <f>VLOOKUP(E:E,Doctor[#All],4,0)</f>
        <v>Pediatrics</v>
      </c>
      <c r="O35">
        <f t="shared" si="1"/>
        <v>0</v>
      </c>
      <c r="P35" s="15">
        <f>VLOOKUP(Belling[[#This Row],[patient_id]],Patient[#All],12,FALSE)</f>
        <v>2021</v>
      </c>
    </row>
    <row r="36" spans="1:16" x14ac:dyDescent="0.25">
      <c r="A36" t="s">
        <v>683</v>
      </c>
      <c r="B36" t="s">
        <v>555</v>
      </c>
      <c r="C36" t="s">
        <v>82</v>
      </c>
      <c r="D36" t="str">
        <f>VLOOKUP(C:C,Treatment[#All],2,0)</f>
        <v>A035</v>
      </c>
      <c r="E36" t="str">
        <f>VLOOKUP(D:D,Appointment[#All],3,0)</f>
        <v>D003</v>
      </c>
      <c r="F36" t="str">
        <f>VLOOKUP(Belling[[#This Row],[Docter_id]],Doctor[#All],2,FALSE)</f>
        <v>Jane</v>
      </c>
      <c r="G36" s="1">
        <f>VLOOKUP(Belling[[#This Row],[Appointment ID]],Appointment[#All],5,FALSE)</f>
        <v>45034</v>
      </c>
      <c r="H36" s="1">
        <v>45034</v>
      </c>
      <c r="I36">
        <v>1654.53</v>
      </c>
      <c r="J36" t="s">
        <v>644</v>
      </c>
      <c r="K36" t="s">
        <v>650</v>
      </c>
      <c r="L36" t="str">
        <f>VLOOKUP(Belling[[#This Row],[patient_id]],Patient[#All],9,FALSE)</f>
        <v>MedCare Plus</v>
      </c>
      <c r="M36" t="str">
        <f t="shared" si="2"/>
        <v>Check Required</v>
      </c>
      <c r="N36" t="str">
        <f>VLOOKUP(E:E,Doctor[#All],4,0)</f>
        <v>Pediatrics</v>
      </c>
      <c r="O36">
        <f t="shared" si="1"/>
        <v>0</v>
      </c>
      <c r="P36" s="15">
        <f>VLOOKUP(Belling[[#This Row],[patient_id]],Patient[#All],12,FALSE)</f>
        <v>2022</v>
      </c>
    </row>
    <row r="37" spans="1:16" x14ac:dyDescent="0.25">
      <c r="A37" t="s">
        <v>684</v>
      </c>
      <c r="B37" t="s">
        <v>548</v>
      </c>
      <c r="C37" t="s">
        <v>84</v>
      </c>
      <c r="D37" t="str">
        <f>VLOOKUP(C:C,Treatment[#All],2,0)</f>
        <v>A036</v>
      </c>
      <c r="E37" t="str">
        <f>VLOOKUP(D:D,Appointment[#All],3,0)</f>
        <v>D003</v>
      </c>
      <c r="F37" t="str">
        <f>VLOOKUP(Belling[[#This Row],[Docter_id]],Doctor[#All],2,FALSE)</f>
        <v>Jane</v>
      </c>
      <c r="G37" s="1">
        <f>VLOOKUP(Belling[[#This Row],[Appointment ID]],Appointment[#All],5,FALSE)</f>
        <v>44934</v>
      </c>
      <c r="H37" s="1">
        <v>45139</v>
      </c>
      <c r="I37">
        <v>4833.17</v>
      </c>
      <c r="J37" t="s">
        <v>655</v>
      </c>
      <c r="K37" t="s">
        <v>645</v>
      </c>
      <c r="L37" t="str">
        <f>VLOOKUP(Belling[[#This Row],[patient_id]],Patient[#All],9,FALSE)</f>
        <v>MedCare Plus</v>
      </c>
      <c r="M37" t="str">
        <f t="shared" si="2"/>
        <v>Check Required</v>
      </c>
      <c r="N37" t="str">
        <f>VLOOKUP(E:E,Doctor[#All],4,0)</f>
        <v>Pediatrics</v>
      </c>
      <c r="O37">
        <f t="shared" si="1"/>
        <v>205</v>
      </c>
      <c r="P37" s="15">
        <f>VLOOKUP(Belling[[#This Row],[patient_id]],Patient[#All],12,FALSE)</f>
        <v>2023</v>
      </c>
    </row>
    <row r="38" spans="1:16" x14ac:dyDescent="0.25">
      <c r="A38" t="s">
        <v>685</v>
      </c>
      <c r="B38" t="s">
        <v>540</v>
      </c>
      <c r="C38" t="s">
        <v>86</v>
      </c>
      <c r="D38" t="str">
        <f>VLOOKUP(C:C,Treatment[#All],2,0)</f>
        <v>A037</v>
      </c>
      <c r="E38" t="str">
        <f>VLOOKUP(D:D,Appointment[#All],3,0)</f>
        <v>D004</v>
      </c>
      <c r="F38" t="str">
        <f>VLOOKUP(Belling[[#This Row],[Docter_id]],Doctor[#All],2,FALSE)</f>
        <v>David</v>
      </c>
      <c r="G38" s="1">
        <f>VLOOKUP(Belling[[#This Row],[Appointment ID]],Appointment[#All],5,FALSE)</f>
        <v>45013</v>
      </c>
      <c r="H38" s="1">
        <v>45013</v>
      </c>
      <c r="I38">
        <v>2675.96</v>
      </c>
      <c r="J38" t="s">
        <v>644</v>
      </c>
      <c r="K38" t="s">
        <v>650</v>
      </c>
      <c r="L38" t="str">
        <f>VLOOKUP(Belling[[#This Row],[patient_id]],Patient[#All],9,FALSE)</f>
        <v>PulseSecure</v>
      </c>
      <c r="M38" t="str">
        <f t="shared" si="2"/>
        <v>Check Required</v>
      </c>
      <c r="N38" t="str">
        <f>VLOOKUP(E:E,Doctor[#All],4,0)</f>
        <v>Pediatrics</v>
      </c>
      <c r="O38">
        <f t="shared" si="1"/>
        <v>0</v>
      </c>
      <c r="P38" s="15">
        <f>VLOOKUP(Belling[[#This Row],[patient_id]],Patient[#All],12,FALSE)</f>
        <v>2021</v>
      </c>
    </row>
    <row r="39" spans="1:16" x14ac:dyDescent="0.25">
      <c r="A39" t="s">
        <v>686</v>
      </c>
      <c r="B39" t="s">
        <v>557</v>
      </c>
      <c r="C39" t="s">
        <v>88</v>
      </c>
      <c r="D39" t="str">
        <f>VLOOKUP(C:C,Treatment[#All],2,0)</f>
        <v>A038</v>
      </c>
      <c r="E39" t="str">
        <f>VLOOKUP(D:D,Appointment[#All],3,0)</f>
        <v>D009</v>
      </c>
      <c r="F39" t="str">
        <f>VLOOKUP(Belling[[#This Row],[Docter_id]],Doctor[#All],2,FALSE)</f>
        <v>Sarah</v>
      </c>
      <c r="G39" s="1">
        <f>VLOOKUP(Belling[[#This Row],[Appointment ID]],Appointment[#All],5,FALSE)</f>
        <v>44980</v>
      </c>
      <c r="H39" s="1">
        <v>44980</v>
      </c>
      <c r="I39">
        <v>4126.97</v>
      </c>
      <c r="J39" t="s">
        <v>652</v>
      </c>
      <c r="K39" t="s">
        <v>650</v>
      </c>
      <c r="L39" t="str">
        <f>VLOOKUP(Belling[[#This Row],[patient_id]],Patient[#All],9,FALSE)</f>
        <v>HealthIndia</v>
      </c>
      <c r="M39" t="str">
        <f t="shared" si="2"/>
        <v>Check Required</v>
      </c>
      <c r="N39" t="str">
        <f>VLOOKUP(E:E,Doctor[#All],4,0)</f>
        <v>Pediatrics</v>
      </c>
      <c r="O39">
        <f t="shared" si="1"/>
        <v>0</v>
      </c>
      <c r="P39" s="15">
        <f>VLOOKUP(Belling[[#This Row],[patient_id]],Patient[#All],12,FALSE)</f>
        <v>2021</v>
      </c>
    </row>
    <row r="40" spans="1:16" x14ac:dyDescent="0.25">
      <c r="A40" t="s">
        <v>687</v>
      </c>
      <c r="B40" t="s">
        <v>518</v>
      </c>
      <c r="C40" t="s">
        <v>90</v>
      </c>
      <c r="D40" t="str">
        <f>VLOOKUP(C:C,Treatment[#All],2,0)</f>
        <v>A039</v>
      </c>
      <c r="E40" t="str">
        <f>VLOOKUP(D:D,Appointment[#All],3,0)</f>
        <v>D002</v>
      </c>
      <c r="F40" t="str">
        <f>VLOOKUP(Belling[[#This Row],[Docter_id]],Doctor[#All],2,FALSE)</f>
        <v>Jane</v>
      </c>
      <c r="G40" s="1">
        <f>VLOOKUP(Belling[[#This Row],[Appointment ID]],Appointment[#All],5,FALSE)</f>
        <v>45033</v>
      </c>
      <c r="H40" s="1">
        <v>45033</v>
      </c>
      <c r="I40">
        <v>2976.02</v>
      </c>
      <c r="J40" t="s">
        <v>644</v>
      </c>
      <c r="K40" t="s">
        <v>650</v>
      </c>
      <c r="L40" t="str">
        <f>VLOOKUP(Belling[[#This Row],[patient_id]],Patient[#All],9,FALSE)</f>
        <v>WellnessCorp</v>
      </c>
      <c r="M40" t="str">
        <f t="shared" si="2"/>
        <v>Check Required</v>
      </c>
      <c r="N40" t="str">
        <f>VLOOKUP(E:E,Doctor[#All],4,0)</f>
        <v>Pediatrics</v>
      </c>
      <c r="O40">
        <f t="shared" si="1"/>
        <v>0</v>
      </c>
      <c r="P40" s="15">
        <f>VLOOKUP(Belling[[#This Row],[patient_id]],Patient[#All],12,FALSE)</f>
        <v>2021</v>
      </c>
    </row>
    <row r="41" spans="1:16" x14ac:dyDescent="0.25">
      <c r="A41" t="s">
        <v>688</v>
      </c>
      <c r="B41" t="s">
        <v>474</v>
      </c>
      <c r="C41" t="s">
        <v>92</v>
      </c>
      <c r="D41" t="str">
        <f>VLOOKUP(C:C,Treatment[#All],2,0)</f>
        <v>A040</v>
      </c>
      <c r="E41" t="str">
        <f>VLOOKUP(D:D,Appointment[#All],3,0)</f>
        <v>D009</v>
      </c>
      <c r="F41" t="str">
        <f>VLOOKUP(Belling[[#This Row],[Docter_id]],Doctor[#All],2,FALSE)</f>
        <v>Sarah</v>
      </c>
      <c r="G41" s="1">
        <f>VLOOKUP(Belling[[#This Row],[Appointment ID]],Appointment[#All],5,FALSE)</f>
        <v>45012</v>
      </c>
      <c r="H41" s="1">
        <v>45012</v>
      </c>
      <c r="I41">
        <v>695.36</v>
      </c>
      <c r="J41" t="s">
        <v>655</v>
      </c>
      <c r="K41" t="s">
        <v>650</v>
      </c>
      <c r="L41" t="str">
        <f>VLOOKUP(Belling[[#This Row],[patient_id]],Patient[#All],9,FALSE)</f>
        <v>WellnessCorp</v>
      </c>
      <c r="M41" t="str">
        <f t="shared" si="2"/>
        <v>Check Required</v>
      </c>
      <c r="N41" t="str">
        <f>VLOOKUP(E:E,Doctor[#All],4,0)</f>
        <v>Pediatrics</v>
      </c>
      <c r="O41">
        <f t="shared" si="1"/>
        <v>0</v>
      </c>
      <c r="P41" s="15">
        <f>VLOOKUP(Belling[[#This Row],[patient_id]],Patient[#All],12,FALSE)</f>
        <v>2022</v>
      </c>
    </row>
    <row r="42" spans="1:16" x14ac:dyDescent="0.25">
      <c r="A42" t="s">
        <v>689</v>
      </c>
      <c r="B42" t="s">
        <v>453</v>
      </c>
      <c r="C42" t="s">
        <v>94</v>
      </c>
      <c r="D42" t="str">
        <f>VLOOKUP(C:C,Treatment[#All],2,0)</f>
        <v>A041</v>
      </c>
      <c r="E42" t="str">
        <f>VLOOKUP(D:D,Appointment[#All],3,0)</f>
        <v>D001</v>
      </c>
      <c r="F42" t="str">
        <f>VLOOKUP(Belling[[#This Row],[Docter_id]],Doctor[#All],2,FALSE)</f>
        <v>David</v>
      </c>
      <c r="G42" s="1">
        <f>VLOOKUP(Belling[[#This Row],[Appointment ID]],Appointment[#All],5,FALSE)</f>
        <v>44927</v>
      </c>
      <c r="H42" s="1">
        <v>44927</v>
      </c>
      <c r="I42">
        <v>3349.18</v>
      </c>
      <c r="J42" t="s">
        <v>652</v>
      </c>
      <c r="K42" t="s">
        <v>647</v>
      </c>
      <c r="L42" t="str">
        <f>VLOOKUP(Belling[[#This Row],[patient_id]],Patient[#All],9,FALSE)</f>
        <v>MedCare Plus</v>
      </c>
      <c r="M42" t="str">
        <f t="shared" si="2"/>
        <v>Clear</v>
      </c>
      <c r="N42" t="str">
        <f>VLOOKUP(E:E,Doctor[#All],4,0)</f>
        <v>Dermatology</v>
      </c>
      <c r="O42">
        <f t="shared" si="1"/>
        <v>0</v>
      </c>
      <c r="P42" s="15">
        <f>VLOOKUP(Belling[[#This Row],[patient_id]],Patient[#All],12,FALSE)</f>
        <v>2021</v>
      </c>
    </row>
    <row r="43" spans="1:16" x14ac:dyDescent="0.25">
      <c r="A43" t="s">
        <v>690</v>
      </c>
      <c r="B43" t="s">
        <v>555</v>
      </c>
      <c r="C43" t="s">
        <v>96</v>
      </c>
      <c r="D43" t="str">
        <f>VLOOKUP(C:C,Treatment[#All],2,0)</f>
        <v>A042</v>
      </c>
      <c r="E43" t="str">
        <f>VLOOKUP(D:D,Appointment[#All],3,0)</f>
        <v>D001</v>
      </c>
      <c r="F43" t="str">
        <f>VLOOKUP(Belling[[#This Row],[Docter_id]],Doctor[#All],2,FALSE)</f>
        <v>David</v>
      </c>
      <c r="G43" s="1">
        <f>VLOOKUP(Belling[[#This Row],[Appointment ID]],Appointment[#All],5,FALSE)</f>
        <v>45006</v>
      </c>
      <c r="H43" s="1">
        <v>45006</v>
      </c>
      <c r="I43">
        <v>4781.32</v>
      </c>
      <c r="J43" t="s">
        <v>644</v>
      </c>
      <c r="K43" t="s">
        <v>645</v>
      </c>
      <c r="L43" t="str">
        <f>VLOOKUP(Belling[[#This Row],[patient_id]],Patient[#All],9,FALSE)</f>
        <v>MedCare Plus</v>
      </c>
      <c r="M43" t="str">
        <f t="shared" si="2"/>
        <v>Check Required</v>
      </c>
      <c r="N43" t="str">
        <f>VLOOKUP(E:E,Doctor[#All],4,0)</f>
        <v>Dermatology</v>
      </c>
      <c r="O43">
        <f t="shared" si="1"/>
        <v>0</v>
      </c>
      <c r="P43" s="15">
        <f>VLOOKUP(Belling[[#This Row],[patient_id]],Patient[#All],12,FALSE)</f>
        <v>2022</v>
      </c>
    </row>
    <row r="44" spans="1:16" x14ac:dyDescent="0.25">
      <c r="A44" t="s">
        <v>691</v>
      </c>
      <c r="B44" t="s">
        <v>550</v>
      </c>
      <c r="C44" t="s">
        <v>98</v>
      </c>
      <c r="D44" t="str">
        <f>VLOOKUP(C:C,Treatment[#All],2,0)</f>
        <v>A043</v>
      </c>
      <c r="E44" t="str">
        <f>VLOOKUP(D:D,Appointment[#All],3,0)</f>
        <v>D005</v>
      </c>
      <c r="F44" t="str">
        <f>VLOOKUP(Belling[[#This Row],[Docter_id]],Doctor[#All],2,FALSE)</f>
        <v>Sarah</v>
      </c>
      <c r="G44" s="1">
        <f>VLOOKUP(Belling[[#This Row],[Appointment ID]],Appointment[#All],5,FALSE)</f>
        <v>45014</v>
      </c>
      <c r="H44" s="1">
        <v>45014</v>
      </c>
      <c r="I44">
        <v>3207.25</v>
      </c>
      <c r="J44" t="s">
        <v>644</v>
      </c>
      <c r="K44" t="s">
        <v>650</v>
      </c>
      <c r="L44" t="str">
        <f>VLOOKUP(Belling[[#This Row],[patient_id]],Patient[#All],9,FALSE)</f>
        <v>WellnessCorp</v>
      </c>
      <c r="M44" t="str">
        <f t="shared" si="2"/>
        <v>Check Required</v>
      </c>
      <c r="N44" t="str">
        <f>VLOOKUP(E:E,Doctor[#All],4,0)</f>
        <v>Dermatology</v>
      </c>
      <c r="O44">
        <f t="shared" si="1"/>
        <v>0</v>
      </c>
      <c r="P44" s="15">
        <f>VLOOKUP(Belling[[#This Row],[patient_id]],Patient[#All],12,FALSE)</f>
        <v>2023</v>
      </c>
    </row>
    <row r="45" spans="1:16" x14ac:dyDescent="0.25">
      <c r="A45" t="s">
        <v>692</v>
      </c>
      <c r="B45" t="s">
        <v>543</v>
      </c>
      <c r="C45" t="s">
        <v>100</v>
      </c>
      <c r="D45" t="str">
        <f>VLOOKUP(C:C,Treatment[#All],2,0)</f>
        <v>A044</v>
      </c>
      <c r="E45" t="str">
        <f>VLOOKUP(D:D,Appointment[#All],3,0)</f>
        <v>D006</v>
      </c>
      <c r="F45" t="str">
        <f>VLOOKUP(Belling[[#This Row],[Docter_id]],Doctor[#All],2,FALSE)</f>
        <v>Alex</v>
      </c>
      <c r="G45" s="1">
        <f>VLOOKUP(Belling[[#This Row],[Appointment ID]],Appointment[#All],5,FALSE)</f>
        <v>45189</v>
      </c>
      <c r="H45" s="1">
        <v>45189</v>
      </c>
      <c r="I45">
        <v>4186.3500000000004</v>
      </c>
      <c r="J45" t="s">
        <v>644</v>
      </c>
      <c r="K45" t="s">
        <v>647</v>
      </c>
      <c r="L45" t="str">
        <f>VLOOKUP(Belling[[#This Row],[patient_id]],Patient[#All],9,FALSE)</f>
        <v>WellnessCorp</v>
      </c>
      <c r="M45" t="str">
        <f t="shared" si="2"/>
        <v>Clear</v>
      </c>
      <c r="N45" t="str">
        <f>VLOOKUP(E:E,Doctor[#All],4,0)</f>
        <v>Pediatrics</v>
      </c>
      <c r="O45">
        <f t="shared" si="1"/>
        <v>0</v>
      </c>
      <c r="P45" s="15">
        <f>VLOOKUP(Belling[[#This Row],[patient_id]],Patient[#All],12,FALSE)</f>
        <v>2022</v>
      </c>
    </row>
    <row r="46" spans="1:16" x14ac:dyDescent="0.25">
      <c r="A46" t="s">
        <v>693</v>
      </c>
      <c r="B46" t="s">
        <v>474</v>
      </c>
      <c r="C46" t="s">
        <v>102</v>
      </c>
      <c r="D46" t="str">
        <f>VLOOKUP(C:C,Treatment[#All],2,0)</f>
        <v>A045</v>
      </c>
      <c r="E46" t="str">
        <f>VLOOKUP(D:D,Appointment[#All],3,0)</f>
        <v>D006</v>
      </c>
      <c r="F46" t="str">
        <f>VLOOKUP(Belling[[#This Row],[Docter_id]],Doctor[#All],2,FALSE)</f>
        <v>Alex</v>
      </c>
      <c r="G46" s="1">
        <f>VLOOKUP(Belling[[#This Row],[Appointment ID]],Appointment[#All],5,FALSE)</f>
        <v>45197</v>
      </c>
      <c r="H46" s="1">
        <v>45197</v>
      </c>
      <c r="I46">
        <v>4478.93</v>
      </c>
      <c r="J46" t="s">
        <v>655</v>
      </c>
      <c r="K46" t="s">
        <v>647</v>
      </c>
      <c r="L46" t="str">
        <f>VLOOKUP(Belling[[#This Row],[patient_id]],Patient[#All],9,FALSE)</f>
        <v>WellnessCorp</v>
      </c>
      <c r="M46" t="str">
        <f t="shared" si="2"/>
        <v>Clear</v>
      </c>
      <c r="N46" t="str">
        <f>VLOOKUP(E:E,Doctor[#All],4,0)</f>
        <v>Pediatrics</v>
      </c>
      <c r="O46">
        <f t="shared" si="1"/>
        <v>0</v>
      </c>
      <c r="P46" s="15">
        <f>VLOOKUP(Belling[[#This Row],[patient_id]],Patient[#All],12,FALSE)</f>
        <v>2022</v>
      </c>
    </row>
    <row r="47" spans="1:16" x14ac:dyDescent="0.25">
      <c r="A47" t="s">
        <v>694</v>
      </c>
      <c r="B47" t="s">
        <v>502</v>
      </c>
      <c r="C47" t="s">
        <v>104</v>
      </c>
      <c r="D47" t="str">
        <f>VLOOKUP(C:C,Treatment[#All],2,0)</f>
        <v>A046</v>
      </c>
      <c r="E47" t="str">
        <f>VLOOKUP(D:D,Appointment[#All],3,0)</f>
        <v>D003</v>
      </c>
      <c r="F47" t="str">
        <f>VLOOKUP(Belling[[#This Row],[Docter_id]],Doctor[#All],2,FALSE)</f>
        <v>Jane</v>
      </c>
      <c r="G47" s="1">
        <f>VLOOKUP(Belling[[#This Row],[Appointment ID]],Appointment[#All],5,FALSE)</f>
        <v>45280</v>
      </c>
      <c r="H47" s="1">
        <v>45280</v>
      </c>
      <c r="I47">
        <v>1526.36</v>
      </c>
      <c r="J47" t="s">
        <v>655</v>
      </c>
      <c r="K47" t="s">
        <v>647</v>
      </c>
      <c r="L47" t="str">
        <f>VLOOKUP(Belling[[#This Row],[patient_id]],Patient[#All],9,FALSE)</f>
        <v>WellnessCorp</v>
      </c>
      <c r="M47" t="str">
        <f t="shared" si="2"/>
        <v>Clear</v>
      </c>
      <c r="N47" t="str">
        <f>VLOOKUP(E:E,Doctor[#All],4,0)</f>
        <v>Pediatrics</v>
      </c>
      <c r="O47">
        <f t="shared" si="1"/>
        <v>0</v>
      </c>
      <c r="P47" s="15">
        <f>VLOOKUP(Belling[[#This Row],[patient_id]],Patient[#All],12,FALSE)</f>
        <v>2023</v>
      </c>
    </row>
    <row r="48" spans="1:16" x14ac:dyDescent="0.25">
      <c r="A48" t="s">
        <v>695</v>
      </c>
      <c r="B48" t="s">
        <v>546</v>
      </c>
      <c r="C48" t="s">
        <v>106</v>
      </c>
      <c r="D48" t="str">
        <f>VLOOKUP(C:C,Treatment[#All],2,0)</f>
        <v>A047</v>
      </c>
      <c r="E48" t="str">
        <f>VLOOKUP(D:D,Appointment[#All],3,0)</f>
        <v>D007</v>
      </c>
      <c r="F48" t="str">
        <f>VLOOKUP(Belling[[#This Row],[Docter_id]],Doctor[#All],2,FALSE)</f>
        <v>Robert</v>
      </c>
      <c r="G48" s="1">
        <f>VLOOKUP(Belling[[#This Row],[Appointment ID]],Appointment[#All],5,FALSE)</f>
        <v>45048</v>
      </c>
      <c r="H48" s="1">
        <v>44962</v>
      </c>
      <c r="I48">
        <v>1454.2</v>
      </c>
      <c r="J48" t="s">
        <v>644</v>
      </c>
      <c r="K48" t="s">
        <v>650</v>
      </c>
      <c r="L48" t="str">
        <f>VLOOKUP(Belling[[#This Row],[patient_id]],Patient[#All],9,FALSE)</f>
        <v>MedCare Plus</v>
      </c>
      <c r="M48" t="str">
        <f t="shared" si="2"/>
        <v>Check Required</v>
      </c>
      <c r="N48" t="str">
        <f>VLOOKUP(E:E,Doctor[#All],4,0)</f>
        <v>Oncology</v>
      </c>
      <c r="O48">
        <f t="shared" si="1"/>
        <v>-86</v>
      </c>
      <c r="P48" s="15">
        <f>VLOOKUP(Belling[[#This Row],[patient_id]],Patient[#All],12,FALSE)</f>
        <v>2021</v>
      </c>
    </row>
    <row r="49" spans="1:16" x14ac:dyDescent="0.25">
      <c r="A49" t="s">
        <v>696</v>
      </c>
      <c r="B49" t="s">
        <v>425</v>
      </c>
      <c r="C49" t="s">
        <v>108</v>
      </c>
      <c r="D49" t="str">
        <f>VLOOKUP(C:C,Treatment[#All],2,0)</f>
        <v>A048</v>
      </c>
      <c r="E49" t="str">
        <f>VLOOKUP(D:D,Appointment[#All],3,0)</f>
        <v>D009</v>
      </c>
      <c r="F49" t="str">
        <f>VLOOKUP(Belling[[#This Row],[Docter_id]],Doctor[#All],2,FALSE)</f>
        <v>Sarah</v>
      </c>
      <c r="G49" s="1">
        <f>VLOOKUP(Belling[[#This Row],[Appointment ID]],Appointment[#All],5,FALSE)</f>
        <v>44942</v>
      </c>
      <c r="H49" s="1">
        <v>44942</v>
      </c>
      <c r="I49">
        <v>3249.41</v>
      </c>
      <c r="J49" t="s">
        <v>652</v>
      </c>
      <c r="K49" t="s">
        <v>650</v>
      </c>
      <c r="L49" t="str">
        <f>VLOOKUP(Belling[[#This Row],[patient_id]],Patient[#All],9,FALSE)</f>
        <v>WellnessCorp</v>
      </c>
      <c r="M49" t="str">
        <f t="shared" si="2"/>
        <v>Check Required</v>
      </c>
      <c r="N49" t="str">
        <f>VLOOKUP(E:E,Doctor[#All],4,0)</f>
        <v>Pediatrics</v>
      </c>
      <c r="O49">
        <f t="shared" si="1"/>
        <v>0</v>
      </c>
      <c r="P49" s="15">
        <f>VLOOKUP(Belling[[#This Row],[patient_id]],Patient[#All],12,FALSE)</f>
        <v>2022</v>
      </c>
    </row>
    <row r="50" spans="1:16" x14ac:dyDescent="0.25">
      <c r="A50" t="s">
        <v>697</v>
      </c>
      <c r="B50" t="s">
        <v>453</v>
      </c>
      <c r="C50" t="s">
        <v>110</v>
      </c>
      <c r="D50" t="str">
        <f>VLOOKUP(C:C,Treatment[#All],2,0)</f>
        <v>A049</v>
      </c>
      <c r="E50" t="str">
        <f>VLOOKUP(D:D,Appointment[#All],3,0)</f>
        <v>D010</v>
      </c>
      <c r="F50" t="str">
        <f>VLOOKUP(Belling[[#This Row],[Docter_id]],Doctor[#All],2,FALSE)</f>
        <v>Linda</v>
      </c>
      <c r="G50" s="1">
        <f>VLOOKUP(Belling[[#This Row],[Appointment ID]],Appointment[#All],5,FALSE)</f>
        <v>45046</v>
      </c>
      <c r="H50" s="1">
        <v>45046</v>
      </c>
      <c r="I50">
        <v>2349.63</v>
      </c>
      <c r="J50" t="s">
        <v>652</v>
      </c>
      <c r="K50" t="s">
        <v>645</v>
      </c>
      <c r="L50" t="str">
        <f>VLOOKUP(Belling[[#This Row],[patient_id]],Patient[#All],9,FALSE)</f>
        <v>MedCare Plus</v>
      </c>
      <c r="M50" t="str">
        <f t="shared" si="2"/>
        <v>Check Required</v>
      </c>
      <c r="N50" t="str">
        <f>VLOOKUP(E:E,Doctor[#All],4,0)</f>
        <v>Oncology</v>
      </c>
      <c r="O50">
        <f t="shared" si="1"/>
        <v>0</v>
      </c>
      <c r="P50" s="15">
        <f>VLOOKUP(Belling[[#This Row],[patient_id]],Patient[#All],12,FALSE)</f>
        <v>2021</v>
      </c>
    </row>
    <row r="51" spans="1:16" x14ac:dyDescent="0.25">
      <c r="A51" t="s">
        <v>698</v>
      </c>
      <c r="B51" t="s">
        <v>579</v>
      </c>
      <c r="C51" t="s">
        <v>112</v>
      </c>
      <c r="D51" t="str">
        <f>VLOOKUP(C:C,Treatment[#All],2,0)</f>
        <v>A050</v>
      </c>
      <c r="E51" t="str">
        <f>VLOOKUP(D:D,Appointment[#All],3,0)</f>
        <v>D008</v>
      </c>
      <c r="F51" t="str">
        <f>VLOOKUP(Belling[[#This Row],[Docter_id]],Doctor[#All],2,FALSE)</f>
        <v>Linda</v>
      </c>
      <c r="G51" s="1">
        <f>VLOOKUP(Belling[[#This Row],[Appointment ID]],Appointment[#All],5,FALSE)</f>
        <v>45154</v>
      </c>
      <c r="H51" s="1">
        <v>45154</v>
      </c>
      <c r="I51">
        <v>4279.38</v>
      </c>
      <c r="J51" t="s">
        <v>655</v>
      </c>
      <c r="K51" t="s">
        <v>650</v>
      </c>
      <c r="L51" t="str">
        <f>VLOOKUP(Belling[[#This Row],[patient_id]],Patient[#All],9,FALSE)</f>
        <v>MedCare Plus</v>
      </c>
      <c r="M51" t="str">
        <f t="shared" si="2"/>
        <v>Check Required</v>
      </c>
      <c r="N51" t="str">
        <f>VLOOKUP(E:E,Doctor[#All],4,0)</f>
        <v>Dermatology</v>
      </c>
      <c r="O51">
        <f t="shared" si="1"/>
        <v>0</v>
      </c>
      <c r="P51" s="15">
        <f>VLOOKUP(Belling[[#This Row],[patient_id]],Patient[#All],12,FALSE)</f>
        <v>2021</v>
      </c>
    </row>
    <row r="52" spans="1:16" x14ac:dyDescent="0.25">
      <c r="A52" t="s">
        <v>699</v>
      </c>
      <c r="B52" t="s">
        <v>446</v>
      </c>
      <c r="C52" t="s">
        <v>114</v>
      </c>
      <c r="D52" t="str">
        <f>VLOOKUP(C:C,Treatment[#All],2,0)</f>
        <v>A051</v>
      </c>
      <c r="E52" t="str">
        <f>VLOOKUP(D:D,Appointment[#All],3,0)</f>
        <v>D006</v>
      </c>
      <c r="F52" t="str">
        <f>VLOOKUP(Belling[[#This Row],[Docter_id]],Doctor[#All],2,FALSE)</f>
        <v>Alex</v>
      </c>
      <c r="G52" s="1">
        <f>VLOOKUP(Belling[[#This Row],[Appointment ID]],Appointment[#All],5,FALSE)</f>
        <v>44961</v>
      </c>
      <c r="H52" s="1">
        <v>45018</v>
      </c>
      <c r="I52">
        <v>4550.1000000000004</v>
      </c>
      <c r="J52" t="s">
        <v>652</v>
      </c>
      <c r="K52" t="s">
        <v>650</v>
      </c>
      <c r="L52" t="str">
        <f>VLOOKUP(Belling[[#This Row],[patient_id]],Patient[#All],9,FALSE)</f>
        <v>HealthIndia</v>
      </c>
      <c r="M52" t="str">
        <f t="shared" si="2"/>
        <v>Check Required</v>
      </c>
      <c r="N52" t="str">
        <f>VLOOKUP(E:E,Doctor[#All],4,0)</f>
        <v>Pediatrics</v>
      </c>
      <c r="O52">
        <f t="shared" si="1"/>
        <v>57</v>
      </c>
      <c r="P52" s="15">
        <f>VLOOKUP(Belling[[#This Row],[patient_id]],Patient[#All],12,FALSE)</f>
        <v>2021</v>
      </c>
    </row>
    <row r="53" spans="1:16" x14ac:dyDescent="0.25">
      <c r="A53" t="s">
        <v>700</v>
      </c>
      <c r="B53" t="s">
        <v>493</v>
      </c>
      <c r="C53" t="s">
        <v>116</v>
      </c>
      <c r="D53" t="str">
        <f>VLOOKUP(C:C,Treatment[#All],2,0)</f>
        <v>A052</v>
      </c>
      <c r="E53" t="str">
        <f>VLOOKUP(D:D,Appointment[#All],3,0)</f>
        <v>D008</v>
      </c>
      <c r="F53" t="str">
        <f>VLOOKUP(Belling[[#This Row],[Docter_id]],Doctor[#All],2,FALSE)</f>
        <v>Linda</v>
      </c>
      <c r="G53" s="1">
        <f>VLOOKUP(Belling[[#This Row],[Appointment ID]],Appointment[#All],5,FALSE)</f>
        <v>45119</v>
      </c>
      <c r="H53" s="1">
        <v>45267</v>
      </c>
      <c r="I53">
        <v>2090.4</v>
      </c>
      <c r="J53" t="s">
        <v>655</v>
      </c>
      <c r="K53" t="s">
        <v>647</v>
      </c>
      <c r="L53" t="str">
        <f>VLOOKUP(Belling[[#This Row],[patient_id]],Patient[#All],9,FALSE)</f>
        <v>PulseSecure</v>
      </c>
      <c r="M53" t="str">
        <f t="shared" si="2"/>
        <v>Clear</v>
      </c>
      <c r="N53" t="str">
        <f>VLOOKUP(E:E,Doctor[#All],4,0)</f>
        <v>Dermatology</v>
      </c>
      <c r="O53">
        <f t="shared" si="1"/>
        <v>148</v>
      </c>
      <c r="P53" s="15">
        <f>VLOOKUP(Belling[[#This Row],[patient_id]],Patient[#All],12,FALSE)</f>
        <v>2021</v>
      </c>
    </row>
    <row r="54" spans="1:16" x14ac:dyDescent="0.25">
      <c r="A54" t="s">
        <v>701</v>
      </c>
      <c r="B54" t="s">
        <v>521</v>
      </c>
      <c r="C54" t="s">
        <v>118</v>
      </c>
      <c r="D54" t="str">
        <f>VLOOKUP(C:C,Treatment[#All],2,0)</f>
        <v>A053</v>
      </c>
      <c r="E54" t="str">
        <f>VLOOKUP(D:D,Appointment[#All],3,0)</f>
        <v>D005</v>
      </c>
      <c r="F54" t="str">
        <f>VLOOKUP(Belling[[#This Row],[Docter_id]],Doctor[#All],2,FALSE)</f>
        <v>Sarah</v>
      </c>
      <c r="G54" s="1">
        <f>VLOOKUP(Belling[[#This Row],[Appointment ID]],Appointment[#All],5,FALSE)</f>
        <v>44969</v>
      </c>
      <c r="H54" s="1">
        <v>45262</v>
      </c>
      <c r="I54">
        <v>1565.92</v>
      </c>
      <c r="J54" t="s">
        <v>644</v>
      </c>
      <c r="K54" t="s">
        <v>645</v>
      </c>
      <c r="L54" t="str">
        <f>VLOOKUP(Belling[[#This Row],[patient_id]],Patient[#All],9,FALSE)</f>
        <v>WellnessCorp</v>
      </c>
      <c r="M54" t="str">
        <f t="shared" si="2"/>
        <v>Check Required</v>
      </c>
      <c r="N54" t="str">
        <f>VLOOKUP(E:E,Doctor[#All],4,0)</f>
        <v>Dermatology</v>
      </c>
      <c r="O54">
        <f t="shared" si="1"/>
        <v>293</v>
      </c>
      <c r="P54" s="15">
        <f>VLOOKUP(Belling[[#This Row],[patient_id]],Patient[#All],12,FALSE)</f>
        <v>2021</v>
      </c>
    </row>
    <row r="55" spans="1:16" x14ac:dyDescent="0.25">
      <c r="A55" t="s">
        <v>702</v>
      </c>
      <c r="B55" t="s">
        <v>493</v>
      </c>
      <c r="C55" t="s">
        <v>120</v>
      </c>
      <c r="D55" t="str">
        <f>VLOOKUP(C:C,Treatment[#All],2,0)</f>
        <v>A054</v>
      </c>
      <c r="E55" t="str">
        <f>VLOOKUP(D:D,Appointment[#All],3,0)</f>
        <v>D008</v>
      </c>
      <c r="F55" t="str">
        <f>VLOOKUP(Belling[[#This Row],[Docter_id]],Doctor[#All],2,FALSE)</f>
        <v>Linda</v>
      </c>
      <c r="G55" s="1">
        <f>VLOOKUP(Belling[[#This Row],[Appointment ID]],Appointment[#All],5,FALSE)</f>
        <v>45276</v>
      </c>
      <c r="H55" s="1">
        <v>45276</v>
      </c>
      <c r="I55">
        <v>4012.36</v>
      </c>
      <c r="J55" t="s">
        <v>655</v>
      </c>
      <c r="K55" t="s">
        <v>650</v>
      </c>
      <c r="L55" t="str">
        <f>VLOOKUP(Belling[[#This Row],[patient_id]],Patient[#All],9,FALSE)</f>
        <v>PulseSecure</v>
      </c>
      <c r="M55" t="str">
        <f t="shared" si="2"/>
        <v>Check Required</v>
      </c>
      <c r="N55" t="str">
        <f>VLOOKUP(E:E,Doctor[#All],4,0)</f>
        <v>Dermatology</v>
      </c>
      <c r="O55">
        <f t="shared" si="1"/>
        <v>0</v>
      </c>
      <c r="P55" s="15">
        <f>VLOOKUP(Belling[[#This Row],[patient_id]],Patient[#All],12,FALSE)</f>
        <v>2021</v>
      </c>
    </row>
    <row r="56" spans="1:16" x14ac:dyDescent="0.25">
      <c r="A56" t="s">
        <v>703</v>
      </c>
      <c r="B56" t="s">
        <v>433</v>
      </c>
      <c r="C56" t="s">
        <v>122</v>
      </c>
      <c r="D56" t="str">
        <f>VLOOKUP(C:C,Treatment[#All],2,0)</f>
        <v>A055</v>
      </c>
      <c r="E56" t="str">
        <f>VLOOKUP(D:D,Appointment[#All],3,0)</f>
        <v>D010</v>
      </c>
      <c r="F56" t="str">
        <f>VLOOKUP(Belling[[#This Row],[Docter_id]],Doctor[#All],2,FALSE)</f>
        <v>Linda</v>
      </c>
      <c r="G56" s="1">
        <f>VLOOKUP(Belling[[#This Row],[Appointment ID]],Appointment[#All],5,FALSE)</f>
        <v>45205</v>
      </c>
      <c r="H56" s="1">
        <v>45087</v>
      </c>
      <c r="I56">
        <v>1736.63</v>
      </c>
      <c r="J56" t="s">
        <v>655</v>
      </c>
      <c r="K56" t="s">
        <v>650</v>
      </c>
      <c r="L56" t="str">
        <f>VLOOKUP(Belling[[#This Row],[patient_id]],Patient[#All],9,FALSE)</f>
        <v>PulseSecure</v>
      </c>
      <c r="M56" t="str">
        <f t="shared" si="2"/>
        <v>Check Required</v>
      </c>
      <c r="N56" t="str">
        <f>VLOOKUP(E:E,Doctor[#All],4,0)</f>
        <v>Oncology</v>
      </c>
      <c r="O56">
        <f t="shared" si="1"/>
        <v>-118</v>
      </c>
      <c r="P56" s="15">
        <f>VLOOKUP(Belling[[#This Row],[patient_id]],Patient[#All],12,FALSE)</f>
        <v>2022</v>
      </c>
    </row>
    <row r="57" spans="1:16" x14ac:dyDescent="0.25">
      <c r="A57" t="s">
        <v>704</v>
      </c>
      <c r="B57" t="s">
        <v>589</v>
      </c>
      <c r="C57" t="s">
        <v>124</v>
      </c>
      <c r="D57" t="str">
        <f>VLOOKUP(C:C,Treatment[#All],2,0)</f>
        <v>A056</v>
      </c>
      <c r="E57" t="str">
        <f>VLOOKUP(D:D,Appointment[#All],3,0)</f>
        <v>D004</v>
      </c>
      <c r="F57" t="str">
        <f>VLOOKUP(Belling[[#This Row],[Docter_id]],Doctor[#All],2,FALSE)</f>
        <v>David</v>
      </c>
      <c r="G57" s="1">
        <f>VLOOKUP(Belling[[#This Row],[Appointment ID]],Appointment[#All],5,FALSE)</f>
        <v>44928</v>
      </c>
      <c r="H57" s="1">
        <v>44958</v>
      </c>
      <c r="I57">
        <v>4201.76</v>
      </c>
      <c r="J57" t="s">
        <v>644</v>
      </c>
      <c r="K57" t="s">
        <v>647</v>
      </c>
      <c r="L57" t="str">
        <f>VLOOKUP(Belling[[#This Row],[patient_id]],Patient[#All],9,FALSE)</f>
        <v>MedCare Plus</v>
      </c>
      <c r="M57" t="str">
        <f t="shared" si="2"/>
        <v>Clear</v>
      </c>
      <c r="N57" t="str">
        <f>VLOOKUP(E:E,Doctor[#All],4,0)</f>
        <v>Pediatrics</v>
      </c>
      <c r="O57">
        <f t="shared" si="1"/>
        <v>30</v>
      </c>
      <c r="P57" s="15">
        <f>VLOOKUP(Belling[[#This Row],[patient_id]],Patient[#All],12,FALSE)</f>
        <v>2023</v>
      </c>
    </row>
    <row r="58" spans="1:16" x14ac:dyDescent="0.25">
      <c r="A58" t="s">
        <v>705</v>
      </c>
      <c r="B58" t="s">
        <v>534</v>
      </c>
      <c r="C58" t="s">
        <v>126</v>
      </c>
      <c r="D58" t="str">
        <f>VLOOKUP(C:C,Treatment[#All],2,0)</f>
        <v>A057</v>
      </c>
      <c r="E58" t="str">
        <f>VLOOKUP(D:D,Appointment[#All],3,0)</f>
        <v>D010</v>
      </c>
      <c r="F58" t="str">
        <f>VLOOKUP(Belling[[#This Row],[Docter_id]],Doctor[#All],2,FALSE)</f>
        <v>Linda</v>
      </c>
      <c r="G58" s="1">
        <f>VLOOKUP(Belling[[#This Row],[Appointment ID]],Appointment[#All],5,FALSE)</f>
        <v>45031</v>
      </c>
      <c r="H58" s="1">
        <v>45031</v>
      </c>
      <c r="I58">
        <v>2406.8200000000002</v>
      </c>
      <c r="J58" t="s">
        <v>652</v>
      </c>
      <c r="K58" t="s">
        <v>647</v>
      </c>
      <c r="L58" t="str">
        <f>VLOOKUP(Belling[[#This Row],[patient_id]],Patient[#All],9,FALSE)</f>
        <v>MedCare Plus</v>
      </c>
      <c r="M58" t="str">
        <f t="shared" si="2"/>
        <v>Clear</v>
      </c>
      <c r="N58" t="str">
        <f>VLOOKUP(E:E,Doctor[#All],4,0)</f>
        <v>Oncology</v>
      </c>
      <c r="O58">
        <f t="shared" si="1"/>
        <v>0</v>
      </c>
      <c r="P58" s="15">
        <f>VLOOKUP(Belling[[#This Row],[patient_id]],Patient[#All],12,FALSE)</f>
        <v>2023</v>
      </c>
    </row>
    <row r="59" spans="1:16" x14ac:dyDescent="0.25">
      <c r="A59" t="s">
        <v>706</v>
      </c>
      <c r="B59" t="s">
        <v>546</v>
      </c>
      <c r="C59" t="s">
        <v>128</v>
      </c>
      <c r="D59" t="str">
        <f>VLOOKUP(C:C,Treatment[#All],2,0)</f>
        <v>A058</v>
      </c>
      <c r="E59" t="str">
        <f>VLOOKUP(D:D,Appointment[#All],3,0)</f>
        <v>D008</v>
      </c>
      <c r="F59" t="str">
        <f>VLOOKUP(Belling[[#This Row],[Docter_id]],Doctor[#All],2,FALSE)</f>
        <v>Linda</v>
      </c>
      <c r="G59" s="1">
        <f>VLOOKUP(Belling[[#This Row],[Appointment ID]],Appointment[#All],5,FALSE)</f>
        <v>45055</v>
      </c>
      <c r="H59" s="1">
        <v>45174</v>
      </c>
      <c r="I59">
        <v>3503.97</v>
      </c>
      <c r="J59" t="s">
        <v>655</v>
      </c>
      <c r="K59" t="s">
        <v>650</v>
      </c>
      <c r="L59" t="str">
        <f>VLOOKUP(Belling[[#This Row],[patient_id]],Patient[#All],9,FALSE)</f>
        <v>MedCare Plus</v>
      </c>
      <c r="M59" t="str">
        <f t="shared" si="2"/>
        <v>Check Required</v>
      </c>
      <c r="N59" t="str">
        <f>VLOOKUP(E:E,Doctor[#All],4,0)</f>
        <v>Dermatology</v>
      </c>
      <c r="O59">
        <f t="shared" si="1"/>
        <v>119</v>
      </c>
      <c r="P59" s="15">
        <f>VLOOKUP(Belling[[#This Row],[patient_id]],Patient[#All],12,FALSE)</f>
        <v>2021</v>
      </c>
    </row>
    <row r="60" spans="1:16" x14ac:dyDescent="0.25">
      <c r="A60" t="s">
        <v>707</v>
      </c>
      <c r="B60" t="s">
        <v>531</v>
      </c>
      <c r="C60" t="s">
        <v>130</v>
      </c>
      <c r="D60" t="str">
        <f>VLOOKUP(C:C,Treatment[#All],2,0)</f>
        <v>A059</v>
      </c>
      <c r="E60" t="str">
        <f>VLOOKUP(D:D,Appointment[#All],3,0)</f>
        <v>D010</v>
      </c>
      <c r="F60" t="str">
        <f>VLOOKUP(Belling[[#This Row],[Docter_id]],Doctor[#All],2,FALSE)</f>
        <v>Linda</v>
      </c>
      <c r="G60" s="1">
        <f>VLOOKUP(Belling[[#This Row],[Appointment ID]],Appointment[#All],5,FALSE)</f>
        <v>44994</v>
      </c>
      <c r="H60" s="1">
        <v>45172</v>
      </c>
      <c r="I60">
        <v>929.91</v>
      </c>
      <c r="J60" t="s">
        <v>655</v>
      </c>
      <c r="K60" t="s">
        <v>645</v>
      </c>
      <c r="L60" t="str">
        <f>VLOOKUP(Belling[[#This Row],[patient_id]],Patient[#All],9,FALSE)</f>
        <v>HealthIndia</v>
      </c>
      <c r="M60" t="str">
        <f t="shared" si="2"/>
        <v>Check Required</v>
      </c>
      <c r="N60" t="str">
        <f>VLOOKUP(E:E,Doctor[#All],4,0)</f>
        <v>Oncology</v>
      </c>
      <c r="O60">
        <f t="shared" si="1"/>
        <v>178</v>
      </c>
      <c r="P60" s="15">
        <f>VLOOKUP(Belling[[#This Row],[patient_id]],Patient[#All],12,FALSE)</f>
        <v>2021</v>
      </c>
    </row>
    <row r="61" spans="1:16" x14ac:dyDescent="0.25">
      <c r="A61" t="s">
        <v>708</v>
      </c>
      <c r="B61" t="s">
        <v>506</v>
      </c>
      <c r="C61" t="s">
        <v>132</v>
      </c>
      <c r="D61" t="str">
        <f>VLOOKUP(C:C,Treatment[#All],2,0)</f>
        <v>A060</v>
      </c>
      <c r="E61" t="str">
        <f>VLOOKUP(D:D,Appointment[#All],3,0)</f>
        <v>D002</v>
      </c>
      <c r="F61" t="str">
        <f>VLOOKUP(Belling[[#This Row],[Docter_id]],Doctor[#All],2,FALSE)</f>
        <v>Jane</v>
      </c>
      <c r="G61" s="1">
        <f>VLOOKUP(Belling[[#This Row],[Appointment ID]],Appointment[#All],5,FALSE)</f>
        <v>45252</v>
      </c>
      <c r="H61" s="1">
        <v>45252</v>
      </c>
      <c r="I61">
        <v>3307.37</v>
      </c>
      <c r="J61" t="s">
        <v>644</v>
      </c>
      <c r="K61" t="s">
        <v>645</v>
      </c>
      <c r="L61" t="str">
        <f>VLOOKUP(Belling[[#This Row],[patient_id]],Patient[#All],9,FALSE)</f>
        <v>MedCare Plus</v>
      </c>
      <c r="M61" t="str">
        <f t="shared" si="2"/>
        <v>Check Required</v>
      </c>
      <c r="N61" t="str">
        <f>VLOOKUP(E:E,Doctor[#All],4,0)</f>
        <v>Pediatrics</v>
      </c>
      <c r="O61">
        <f t="shared" si="1"/>
        <v>0</v>
      </c>
      <c r="P61" s="15">
        <f>VLOOKUP(Belling[[#This Row],[patient_id]],Patient[#All],12,FALSE)</f>
        <v>2022</v>
      </c>
    </row>
    <row r="62" spans="1:16" x14ac:dyDescent="0.25">
      <c r="A62" t="s">
        <v>709</v>
      </c>
      <c r="B62" t="s">
        <v>521</v>
      </c>
      <c r="C62" t="s">
        <v>134</v>
      </c>
      <c r="D62" t="str">
        <f>VLOOKUP(C:C,Treatment[#All],2,0)</f>
        <v>A061</v>
      </c>
      <c r="E62" t="str">
        <f>VLOOKUP(D:D,Appointment[#All],3,0)</f>
        <v>D005</v>
      </c>
      <c r="F62" t="str">
        <f>VLOOKUP(Belling[[#This Row],[Docter_id]],Doctor[#All],2,FALSE)</f>
        <v>Sarah</v>
      </c>
      <c r="G62" s="1">
        <f>VLOOKUP(Belling[[#This Row],[Appointment ID]],Appointment[#All],5,FALSE)</f>
        <v>44941</v>
      </c>
      <c r="H62" s="1">
        <v>44941</v>
      </c>
      <c r="I62">
        <v>2532.9499999999998</v>
      </c>
      <c r="J62" t="s">
        <v>652</v>
      </c>
      <c r="K62" t="s">
        <v>647</v>
      </c>
      <c r="L62" t="str">
        <f>VLOOKUP(Belling[[#This Row],[patient_id]],Patient[#All],9,FALSE)</f>
        <v>WellnessCorp</v>
      </c>
      <c r="M62" t="str">
        <f t="shared" si="2"/>
        <v>Clear</v>
      </c>
      <c r="N62" t="str">
        <f>VLOOKUP(E:E,Doctor[#All],4,0)</f>
        <v>Dermatology</v>
      </c>
      <c r="O62">
        <f t="shared" si="1"/>
        <v>0</v>
      </c>
      <c r="P62" s="15">
        <f>VLOOKUP(Belling[[#This Row],[patient_id]],Patient[#All],12,FALSE)</f>
        <v>2021</v>
      </c>
    </row>
    <row r="63" spans="1:16" x14ac:dyDescent="0.25">
      <c r="A63" t="s">
        <v>710</v>
      </c>
      <c r="B63" t="s">
        <v>481</v>
      </c>
      <c r="C63" t="s">
        <v>136</v>
      </c>
      <c r="D63" t="str">
        <f>VLOOKUP(C:C,Treatment[#All],2,0)</f>
        <v>A062</v>
      </c>
      <c r="E63" t="str">
        <f>VLOOKUP(D:D,Appointment[#All],3,0)</f>
        <v>D009</v>
      </c>
      <c r="F63" t="str">
        <f>VLOOKUP(Belling[[#This Row],[Docter_id]],Doctor[#All],2,FALSE)</f>
        <v>Sarah</v>
      </c>
      <c r="G63" s="1">
        <f>VLOOKUP(Belling[[#This Row],[Appointment ID]],Appointment[#All],5,FALSE)</f>
        <v>45091</v>
      </c>
      <c r="H63" s="1">
        <v>45091</v>
      </c>
      <c r="I63">
        <v>3139.74</v>
      </c>
      <c r="J63" t="s">
        <v>655</v>
      </c>
      <c r="K63" t="s">
        <v>647</v>
      </c>
      <c r="L63" t="str">
        <f>VLOOKUP(Belling[[#This Row],[patient_id]],Patient[#All],9,FALSE)</f>
        <v>MedCare Plus</v>
      </c>
      <c r="M63" t="str">
        <f t="shared" si="2"/>
        <v>Clear</v>
      </c>
      <c r="N63" t="str">
        <f>VLOOKUP(E:E,Doctor[#All],4,0)</f>
        <v>Pediatrics</v>
      </c>
      <c r="O63">
        <f t="shared" si="1"/>
        <v>0</v>
      </c>
      <c r="P63" s="15">
        <f>VLOOKUP(Belling[[#This Row],[patient_id]],Patient[#All],12,FALSE)</f>
        <v>2023</v>
      </c>
    </row>
    <row r="64" spans="1:16" x14ac:dyDescent="0.25">
      <c r="A64" t="s">
        <v>711</v>
      </c>
      <c r="B64" t="s">
        <v>592</v>
      </c>
      <c r="C64" t="s">
        <v>138</v>
      </c>
      <c r="D64" t="str">
        <f>VLOOKUP(C:C,Treatment[#All],2,0)</f>
        <v>A063</v>
      </c>
      <c r="E64" t="str">
        <f>VLOOKUP(D:D,Appointment[#All],3,0)</f>
        <v>D004</v>
      </c>
      <c r="F64" t="str">
        <f>VLOOKUP(Belling[[#This Row],[Docter_id]],Doctor[#All],2,FALSE)</f>
        <v>David</v>
      </c>
      <c r="G64" s="1">
        <f>VLOOKUP(Belling[[#This Row],[Appointment ID]],Appointment[#All],5,FALSE)</f>
        <v>45106</v>
      </c>
      <c r="H64" s="1">
        <v>45106</v>
      </c>
      <c r="I64">
        <v>1256.06</v>
      </c>
      <c r="J64" t="s">
        <v>644</v>
      </c>
      <c r="K64" t="s">
        <v>650</v>
      </c>
      <c r="L64" t="str">
        <f>VLOOKUP(Belling[[#This Row],[patient_id]],Patient[#All],9,FALSE)</f>
        <v>WellnessCorp</v>
      </c>
      <c r="M64" t="str">
        <f t="shared" si="2"/>
        <v>Check Required</v>
      </c>
      <c r="N64" t="str">
        <f>VLOOKUP(E:E,Doctor[#All],4,0)</f>
        <v>Pediatrics</v>
      </c>
      <c r="O64">
        <f t="shared" si="1"/>
        <v>0</v>
      </c>
      <c r="P64" s="15">
        <f>VLOOKUP(Belling[[#This Row],[patient_id]],Patient[#All],12,FALSE)</f>
        <v>2023</v>
      </c>
    </row>
    <row r="65" spans="1:16" x14ac:dyDescent="0.25">
      <c r="A65" t="s">
        <v>712</v>
      </c>
      <c r="B65" t="s">
        <v>553</v>
      </c>
      <c r="C65" t="s">
        <v>140</v>
      </c>
      <c r="D65" t="str">
        <f>VLOOKUP(C:C,Treatment[#All],2,0)</f>
        <v>A064</v>
      </c>
      <c r="E65" t="str">
        <f>VLOOKUP(D:D,Appointment[#All],3,0)</f>
        <v>D006</v>
      </c>
      <c r="F65" t="str">
        <f>VLOOKUP(Belling[[#This Row],[Docter_id]],Doctor[#All],2,FALSE)</f>
        <v>Alex</v>
      </c>
      <c r="G65" s="1">
        <f>VLOOKUP(Belling[[#This Row],[Appointment ID]],Appointment[#All],5,FALSE)</f>
        <v>45077</v>
      </c>
      <c r="H65" s="1">
        <v>45077</v>
      </c>
      <c r="I65">
        <v>3815.93</v>
      </c>
      <c r="J65" t="s">
        <v>655</v>
      </c>
      <c r="K65" t="s">
        <v>647</v>
      </c>
      <c r="L65" t="str">
        <f>VLOOKUP(Belling[[#This Row],[patient_id]],Patient[#All],9,FALSE)</f>
        <v>MedCare Plus</v>
      </c>
      <c r="M65" t="str">
        <f t="shared" si="2"/>
        <v>Clear</v>
      </c>
      <c r="N65" t="str">
        <f>VLOOKUP(E:E,Doctor[#All],4,0)</f>
        <v>Pediatrics</v>
      </c>
      <c r="O65">
        <f t="shared" si="1"/>
        <v>0</v>
      </c>
      <c r="P65" s="15">
        <f>VLOOKUP(Belling[[#This Row],[patient_id]],Patient[#All],12,FALSE)</f>
        <v>2023</v>
      </c>
    </row>
    <row r="66" spans="1:16" x14ac:dyDescent="0.25">
      <c r="A66" t="s">
        <v>713</v>
      </c>
      <c r="B66" t="s">
        <v>548</v>
      </c>
      <c r="C66" t="s">
        <v>142</v>
      </c>
      <c r="D66" t="str">
        <f>VLOOKUP(C:C,Treatment[#All],2,0)</f>
        <v>A065</v>
      </c>
      <c r="E66" t="str">
        <f>VLOOKUP(D:D,Appointment[#All],3,0)</f>
        <v>D001</v>
      </c>
      <c r="F66" t="str">
        <f>VLOOKUP(Belling[[#This Row],[Docter_id]],Doctor[#All],2,FALSE)</f>
        <v>David</v>
      </c>
      <c r="G66" s="1">
        <f>VLOOKUP(Belling[[#This Row],[Appointment ID]],Appointment[#All],5,FALSE)</f>
        <v>45040</v>
      </c>
      <c r="H66" s="1">
        <v>45040</v>
      </c>
      <c r="I66">
        <v>4382.59</v>
      </c>
      <c r="J66" t="s">
        <v>644</v>
      </c>
      <c r="K66" t="s">
        <v>650</v>
      </c>
      <c r="L66" t="str">
        <f>VLOOKUP(Belling[[#This Row],[patient_id]],Patient[#All],9,FALSE)</f>
        <v>MedCare Plus</v>
      </c>
      <c r="M66" t="str">
        <f t="shared" ref="M66:M97" si="3">IF(OR(K66="Failed", K66="Pending"), "Check Required", "Clear")</f>
        <v>Check Required</v>
      </c>
      <c r="N66" t="str">
        <f>VLOOKUP(E:E,Doctor[#All],4,0)</f>
        <v>Dermatology</v>
      </c>
      <c r="O66">
        <f t="shared" ref="O66:O129" si="4" xml:space="preserve"> H66 - G66</f>
        <v>0</v>
      </c>
      <c r="P66" s="15">
        <f>VLOOKUP(Belling[[#This Row],[patient_id]],Patient[#All],12,FALSE)</f>
        <v>2023</v>
      </c>
    </row>
    <row r="67" spans="1:16" x14ac:dyDescent="0.25">
      <c r="A67" t="s">
        <v>714</v>
      </c>
      <c r="B67" t="s">
        <v>548</v>
      </c>
      <c r="C67" t="s">
        <v>144</v>
      </c>
      <c r="D67" t="str">
        <f>VLOOKUP(C:C,Treatment[#All],2,0)</f>
        <v>A066</v>
      </c>
      <c r="E67" t="str">
        <f>VLOOKUP(D:D,Appointment[#All],3,0)</f>
        <v>D009</v>
      </c>
      <c r="F67" t="str">
        <f>VLOOKUP(Belling[[#This Row],[Docter_id]],Doctor[#All],2,FALSE)</f>
        <v>Sarah</v>
      </c>
      <c r="G67" s="1">
        <f>VLOOKUP(Belling[[#This Row],[Appointment ID]],Appointment[#All],5,FALSE)</f>
        <v>45056</v>
      </c>
      <c r="H67" s="1">
        <v>45204</v>
      </c>
      <c r="I67">
        <v>1475.33</v>
      </c>
      <c r="J67" t="s">
        <v>652</v>
      </c>
      <c r="K67" t="s">
        <v>645</v>
      </c>
      <c r="L67" t="str">
        <f>VLOOKUP(Belling[[#This Row],[patient_id]],Patient[#All],9,FALSE)</f>
        <v>MedCare Plus</v>
      </c>
      <c r="M67" t="str">
        <f t="shared" si="3"/>
        <v>Check Required</v>
      </c>
      <c r="N67" t="str">
        <f>VLOOKUP(E:E,Doctor[#All],4,0)</f>
        <v>Pediatrics</v>
      </c>
      <c r="O67">
        <f t="shared" si="4"/>
        <v>148</v>
      </c>
      <c r="P67" s="15">
        <f>VLOOKUP(Belling[[#This Row],[patient_id]],Patient[#All],12,FALSE)</f>
        <v>2023</v>
      </c>
    </row>
    <row r="68" spans="1:16" x14ac:dyDescent="0.25">
      <c r="A68" t="s">
        <v>715</v>
      </c>
      <c r="B68" t="s">
        <v>573</v>
      </c>
      <c r="C68" t="s">
        <v>146</v>
      </c>
      <c r="D68" t="str">
        <f>VLOOKUP(C:C,Treatment[#All],2,0)</f>
        <v>A067</v>
      </c>
      <c r="E68" t="str">
        <f>VLOOKUP(D:D,Appointment[#All],3,0)</f>
        <v>D001</v>
      </c>
      <c r="F68" t="str">
        <f>VLOOKUP(Belling[[#This Row],[Docter_id]],Doctor[#All],2,FALSE)</f>
        <v>David</v>
      </c>
      <c r="G68" s="1">
        <f>VLOOKUP(Belling[[#This Row],[Appointment ID]],Appointment[#All],5,FALSE)</f>
        <v>45148</v>
      </c>
      <c r="H68" s="1">
        <v>45207</v>
      </c>
      <c r="I68">
        <v>930.72</v>
      </c>
      <c r="J68" t="s">
        <v>652</v>
      </c>
      <c r="K68" t="s">
        <v>645</v>
      </c>
      <c r="L68" t="str">
        <f>VLOOKUP(Belling[[#This Row],[patient_id]],Patient[#All],9,FALSE)</f>
        <v>WellnessCorp</v>
      </c>
      <c r="M68" t="str">
        <f t="shared" si="3"/>
        <v>Check Required</v>
      </c>
      <c r="N68" t="str">
        <f>VLOOKUP(E:E,Doctor[#All],4,0)</f>
        <v>Dermatology</v>
      </c>
      <c r="O68">
        <f t="shared" si="4"/>
        <v>59</v>
      </c>
      <c r="P68" s="15">
        <f>VLOOKUP(Belling[[#This Row],[patient_id]],Patient[#All],12,FALSE)</f>
        <v>2022</v>
      </c>
    </row>
    <row r="69" spans="1:16" x14ac:dyDescent="0.25">
      <c r="A69" t="s">
        <v>716</v>
      </c>
      <c r="B69" t="s">
        <v>557</v>
      </c>
      <c r="C69" t="s">
        <v>148</v>
      </c>
      <c r="D69" t="str">
        <f>VLOOKUP(C:C,Treatment[#All],2,0)</f>
        <v>A068</v>
      </c>
      <c r="E69" t="str">
        <f>VLOOKUP(D:D,Appointment[#All],3,0)</f>
        <v>D005</v>
      </c>
      <c r="F69" t="str">
        <f>VLOOKUP(Belling[[#This Row],[Docter_id]],Doctor[#All],2,FALSE)</f>
        <v>Sarah</v>
      </c>
      <c r="G69" s="1">
        <f>VLOOKUP(Belling[[#This Row],[Appointment ID]],Appointment[#All],5,FALSE)</f>
        <v>44999</v>
      </c>
      <c r="H69" s="1">
        <v>44999</v>
      </c>
      <c r="I69">
        <v>606.37</v>
      </c>
      <c r="J69" t="s">
        <v>652</v>
      </c>
      <c r="K69" t="s">
        <v>650</v>
      </c>
      <c r="L69" t="str">
        <f>VLOOKUP(Belling[[#This Row],[patient_id]],Patient[#All],9,FALSE)</f>
        <v>HealthIndia</v>
      </c>
      <c r="M69" t="str">
        <f t="shared" si="3"/>
        <v>Check Required</v>
      </c>
      <c r="N69" t="str">
        <f>VLOOKUP(E:E,Doctor[#All],4,0)</f>
        <v>Dermatology</v>
      </c>
      <c r="O69">
        <f t="shared" si="4"/>
        <v>0</v>
      </c>
      <c r="P69" s="15">
        <f>VLOOKUP(Belling[[#This Row],[patient_id]],Patient[#All],12,FALSE)</f>
        <v>2021</v>
      </c>
    </row>
    <row r="70" spans="1:16" x14ac:dyDescent="0.25">
      <c r="A70" t="s">
        <v>717</v>
      </c>
      <c r="B70" t="s">
        <v>481</v>
      </c>
      <c r="C70" t="s">
        <v>150</v>
      </c>
      <c r="D70" t="str">
        <f>VLOOKUP(C:C,Treatment[#All],2,0)</f>
        <v>A069</v>
      </c>
      <c r="E70" t="str">
        <f>VLOOKUP(D:D,Appointment[#All],3,0)</f>
        <v>D004</v>
      </c>
      <c r="F70" t="str">
        <f>VLOOKUP(Belling[[#This Row],[Docter_id]],Doctor[#All],2,FALSE)</f>
        <v>David</v>
      </c>
      <c r="G70" s="1">
        <f>VLOOKUP(Belling[[#This Row],[Appointment ID]],Appointment[#All],5,FALSE)</f>
        <v>45014</v>
      </c>
      <c r="H70" s="1">
        <v>45014</v>
      </c>
      <c r="I70">
        <v>3388.87</v>
      </c>
      <c r="J70" t="s">
        <v>652</v>
      </c>
      <c r="K70" t="s">
        <v>647</v>
      </c>
      <c r="L70" t="str">
        <f>VLOOKUP(Belling[[#This Row],[patient_id]],Patient[#All],9,FALSE)</f>
        <v>MedCare Plus</v>
      </c>
      <c r="M70" t="str">
        <f t="shared" si="3"/>
        <v>Clear</v>
      </c>
      <c r="N70" t="str">
        <f>VLOOKUP(E:E,Doctor[#All],4,0)</f>
        <v>Pediatrics</v>
      </c>
      <c r="O70">
        <f t="shared" si="4"/>
        <v>0</v>
      </c>
      <c r="P70" s="15">
        <f>VLOOKUP(Belling[[#This Row],[patient_id]],Patient[#All],12,FALSE)</f>
        <v>2023</v>
      </c>
    </row>
    <row r="71" spans="1:16" x14ac:dyDescent="0.25">
      <c r="A71" t="s">
        <v>718</v>
      </c>
      <c r="B71" t="s">
        <v>440</v>
      </c>
      <c r="C71" t="s">
        <v>152</v>
      </c>
      <c r="D71" t="str">
        <f>VLOOKUP(C:C,Treatment[#All],2,0)</f>
        <v>A070</v>
      </c>
      <c r="E71" t="str">
        <f>VLOOKUP(D:D,Appointment[#All],3,0)</f>
        <v>D003</v>
      </c>
      <c r="F71" t="str">
        <f>VLOOKUP(Belling[[#This Row],[Docter_id]],Doctor[#All],2,FALSE)</f>
        <v>Jane</v>
      </c>
      <c r="G71" s="1">
        <f>VLOOKUP(Belling[[#This Row],[Appointment ID]],Appointment[#All],5,FALSE)</f>
        <v>45164</v>
      </c>
      <c r="H71" s="1">
        <v>45164</v>
      </c>
      <c r="I71">
        <v>3231.92</v>
      </c>
      <c r="J71" t="s">
        <v>655</v>
      </c>
      <c r="K71" t="s">
        <v>645</v>
      </c>
      <c r="L71" t="str">
        <f>VLOOKUP(Belling[[#This Row],[patient_id]],Patient[#All],9,FALSE)</f>
        <v>PulseSecure</v>
      </c>
      <c r="M71" t="str">
        <f t="shared" si="3"/>
        <v>Check Required</v>
      </c>
      <c r="N71" t="str">
        <f>VLOOKUP(E:E,Doctor[#All],4,0)</f>
        <v>Pediatrics</v>
      </c>
      <c r="O71">
        <f t="shared" si="4"/>
        <v>0</v>
      </c>
      <c r="P71" s="15">
        <f>VLOOKUP(Belling[[#This Row],[patient_id]],Patient[#All],12,FALSE)</f>
        <v>2022</v>
      </c>
    </row>
    <row r="72" spans="1:16" x14ac:dyDescent="0.25">
      <c r="A72" t="s">
        <v>719</v>
      </c>
      <c r="B72" t="s">
        <v>425</v>
      </c>
      <c r="C72" t="s">
        <v>154</v>
      </c>
      <c r="D72" t="str">
        <f>VLOOKUP(C:C,Treatment[#All],2,0)</f>
        <v>A071</v>
      </c>
      <c r="E72" t="str">
        <f>VLOOKUP(D:D,Appointment[#All],3,0)</f>
        <v>D006</v>
      </c>
      <c r="F72" t="str">
        <f>VLOOKUP(Belling[[#This Row],[Docter_id]],Doctor[#All],2,FALSE)</f>
        <v>Alex</v>
      </c>
      <c r="G72" s="1">
        <f>VLOOKUP(Belling[[#This Row],[Appointment ID]],Appointment[#All],5,FALSE)</f>
        <v>44952</v>
      </c>
      <c r="H72" s="1">
        <v>44952</v>
      </c>
      <c r="I72">
        <v>2960.14</v>
      </c>
      <c r="J72" t="s">
        <v>655</v>
      </c>
      <c r="K72" t="s">
        <v>647</v>
      </c>
      <c r="L72" t="str">
        <f>VLOOKUP(Belling[[#This Row],[patient_id]],Patient[#All],9,FALSE)</f>
        <v>WellnessCorp</v>
      </c>
      <c r="M72" t="str">
        <f t="shared" si="3"/>
        <v>Clear</v>
      </c>
      <c r="N72" t="str">
        <f>VLOOKUP(E:E,Doctor[#All],4,0)</f>
        <v>Pediatrics</v>
      </c>
      <c r="O72">
        <f t="shared" si="4"/>
        <v>0</v>
      </c>
      <c r="P72" s="15">
        <f>VLOOKUP(Belling[[#This Row],[patient_id]],Patient[#All],12,FALSE)</f>
        <v>2022</v>
      </c>
    </row>
    <row r="73" spans="1:16" x14ac:dyDescent="0.25">
      <c r="A73" t="s">
        <v>720</v>
      </c>
      <c r="B73" t="s">
        <v>548</v>
      </c>
      <c r="C73" t="s">
        <v>156</v>
      </c>
      <c r="D73" t="str">
        <f>VLOOKUP(C:C,Treatment[#All],2,0)</f>
        <v>A072</v>
      </c>
      <c r="E73" t="str">
        <f>VLOOKUP(D:D,Appointment[#All],3,0)</f>
        <v>D002</v>
      </c>
      <c r="F73" t="str">
        <f>VLOOKUP(Belling[[#This Row],[Docter_id]],Doctor[#All],2,FALSE)</f>
        <v>Jane</v>
      </c>
      <c r="G73" s="1">
        <f>VLOOKUP(Belling[[#This Row],[Appointment ID]],Appointment[#All],5,FALSE)</f>
        <v>45089</v>
      </c>
      <c r="H73" s="1">
        <v>45266</v>
      </c>
      <c r="I73">
        <v>1543.76</v>
      </c>
      <c r="J73" t="s">
        <v>652</v>
      </c>
      <c r="K73" t="s">
        <v>645</v>
      </c>
      <c r="L73" t="str">
        <f>VLOOKUP(Belling[[#This Row],[patient_id]],Patient[#All],9,FALSE)</f>
        <v>MedCare Plus</v>
      </c>
      <c r="M73" t="str">
        <f t="shared" si="3"/>
        <v>Check Required</v>
      </c>
      <c r="N73" t="str">
        <f>VLOOKUP(E:E,Doctor[#All],4,0)</f>
        <v>Pediatrics</v>
      </c>
      <c r="O73">
        <f t="shared" si="4"/>
        <v>177</v>
      </c>
      <c r="P73" s="15">
        <f>VLOOKUP(Belling[[#This Row],[patient_id]],Patient[#All],12,FALSE)</f>
        <v>2023</v>
      </c>
    </row>
    <row r="74" spans="1:16" x14ac:dyDescent="0.25">
      <c r="A74" t="s">
        <v>721</v>
      </c>
      <c r="B74" t="s">
        <v>565</v>
      </c>
      <c r="C74" t="s">
        <v>158</v>
      </c>
      <c r="D74" t="str">
        <f>VLOOKUP(C:C,Treatment[#All],2,0)</f>
        <v>A073</v>
      </c>
      <c r="E74" t="str">
        <f>VLOOKUP(D:D,Appointment[#All],3,0)</f>
        <v>D003</v>
      </c>
      <c r="F74" t="str">
        <f>VLOOKUP(Belling[[#This Row],[Docter_id]],Doctor[#All],2,FALSE)</f>
        <v>Jane</v>
      </c>
      <c r="G74" s="1">
        <f>VLOOKUP(Belling[[#This Row],[Appointment ID]],Appointment[#All],5,FALSE)</f>
        <v>45284</v>
      </c>
      <c r="H74" s="1">
        <v>45284</v>
      </c>
      <c r="I74">
        <v>2259.08</v>
      </c>
      <c r="J74" t="s">
        <v>652</v>
      </c>
      <c r="K74" t="s">
        <v>650</v>
      </c>
      <c r="L74" t="str">
        <f>VLOOKUP(Belling[[#This Row],[patient_id]],Patient[#All],9,FALSE)</f>
        <v>PulseSecure</v>
      </c>
      <c r="M74" t="str">
        <f t="shared" si="3"/>
        <v>Check Required</v>
      </c>
      <c r="N74" t="str">
        <f>VLOOKUP(E:E,Doctor[#All],4,0)</f>
        <v>Pediatrics</v>
      </c>
      <c r="O74">
        <f t="shared" si="4"/>
        <v>0</v>
      </c>
      <c r="P74" s="15">
        <f>VLOOKUP(Belling[[#This Row],[patient_id]],Patient[#All],12,FALSE)</f>
        <v>2021</v>
      </c>
    </row>
    <row r="75" spans="1:16" x14ac:dyDescent="0.25">
      <c r="A75" t="s">
        <v>722</v>
      </c>
      <c r="B75" t="s">
        <v>474</v>
      </c>
      <c r="C75" t="s">
        <v>160</v>
      </c>
      <c r="D75" t="str">
        <f>VLOOKUP(C:C,Treatment[#All],2,0)</f>
        <v>A074</v>
      </c>
      <c r="E75" t="str">
        <f>VLOOKUP(D:D,Appointment[#All],3,0)</f>
        <v>D005</v>
      </c>
      <c r="F75" t="str">
        <f>VLOOKUP(Belling[[#This Row],[Docter_id]],Doctor[#All],2,FALSE)</f>
        <v>Sarah</v>
      </c>
      <c r="G75" s="1">
        <f>VLOOKUP(Belling[[#This Row],[Appointment ID]],Appointment[#All],5,FALSE)</f>
        <v>45130</v>
      </c>
      <c r="H75" s="1">
        <v>45130</v>
      </c>
      <c r="I75">
        <v>3175.14</v>
      </c>
      <c r="J75" t="s">
        <v>652</v>
      </c>
      <c r="K75" t="s">
        <v>650</v>
      </c>
      <c r="L75" t="str">
        <f>VLOOKUP(Belling[[#This Row],[patient_id]],Patient[#All],9,FALSE)</f>
        <v>WellnessCorp</v>
      </c>
      <c r="M75" t="str">
        <f t="shared" si="3"/>
        <v>Check Required</v>
      </c>
      <c r="N75" t="str">
        <f>VLOOKUP(E:E,Doctor[#All],4,0)</f>
        <v>Dermatology</v>
      </c>
      <c r="O75">
        <f t="shared" si="4"/>
        <v>0</v>
      </c>
      <c r="P75" s="15">
        <f>VLOOKUP(Belling[[#This Row],[patient_id]],Patient[#All],12,FALSE)</f>
        <v>2022</v>
      </c>
    </row>
    <row r="76" spans="1:16" x14ac:dyDescent="0.25">
      <c r="A76" t="s">
        <v>723</v>
      </c>
      <c r="B76" t="s">
        <v>573</v>
      </c>
      <c r="C76" t="s">
        <v>162</v>
      </c>
      <c r="D76" t="str">
        <f>VLOOKUP(C:C,Treatment[#All],2,0)</f>
        <v>A075</v>
      </c>
      <c r="E76" t="str">
        <f>VLOOKUP(D:D,Appointment[#All],3,0)</f>
        <v>D009</v>
      </c>
      <c r="F76" t="str">
        <f>VLOOKUP(Belling[[#This Row],[Docter_id]],Doctor[#All],2,FALSE)</f>
        <v>Sarah</v>
      </c>
      <c r="G76" s="1">
        <f>VLOOKUP(Belling[[#This Row],[Appointment ID]],Appointment[#All],5,FALSE)</f>
        <v>45054</v>
      </c>
      <c r="H76" s="1">
        <v>45143</v>
      </c>
      <c r="I76">
        <v>2735.45</v>
      </c>
      <c r="J76" t="s">
        <v>655</v>
      </c>
      <c r="K76" t="s">
        <v>650</v>
      </c>
      <c r="L76" t="str">
        <f>VLOOKUP(Belling[[#This Row],[patient_id]],Patient[#All],9,FALSE)</f>
        <v>WellnessCorp</v>
      </c>
      <c r="M76" t="str">
        <f t="shared" si="3"/>
        <v>Check Required</v>
      </c>
      <c r="N76" t="str">
        <f>VLOOKUP(E:E,Doctor[#All],4,0)</f>
        <v>Pediatrics</v>
      </c>
      <c r="O76">
        <f t="shared" si="4"/>
        <v>89</v>
      </c>
      <c r="P76" s="15">
        <f>VLOOKUP(Belling[[#This Row],[patient_id]],Patient[#All],12,FALSE)</f>
        <v>2022</v>
      </c>
    </row>
    <row r="77" spans="1:16" x14ac:dyDescent="0.25">
      <c r="A77" t="s">
        <v>724</v>
      </c>
      <c r="B77" t="s">
        <v>576</v>
      </c>
      <c r="C77" t="s">
        <v>164</v>
      </c>
      <c r="D77" t="str">
        <f>VLOOKUP(C:C,Treatment[#All],2,0)</f>
        <v>A076</v>
      </c>
      <c r="E77" t="str">
        <f>VLOOKUP(D:D,Appointment[#All],3,0)</f>
        <v>D002</v>
      </c>
      <c r="F77" t="str">
        <f>VLOOKUP(Belling[[#This Row],[Docter_id]],Doctor[#All],2,FALSE)</f>
        <v>Jane</v>
      </c>
      <c r="G77" s="1">
        <f>VLOOKUP(Belling[[#This Row],[Appointment ID]],Appointment[#All],5,FALSE)</f>
        <v>45257</v>
      </c>
      <c r="H77" s="1">
        <v>45257</v>
      </c>
      <c r="I77">
        <v>4945.03</v>
      </c>
      <c r="J77" t="s">
        <v>652</v>
      </c>
      <c r="K77" t="s">
        <v>645</v>
      </c>
      <c r="L77" t="str">
        <f>VLOOKUP(Belling[[#This Row],[patient_id]],Patient[#All],9,FALSE)</f>
        <v>PulseSecure</v>
      </c>
      <c r="M77" t="str">
        <f t="shared" si="3"/>
        <v>Check Required</v>
      </c>
      <c r="N77" t="str">
        <f>VLOOKUP(E:E,Doctor[#All],4,0)</f>
        <v>Pediatrics</v>
      </c>
      <c r="O77">
        <f t="shared" si="4"/>
        <v>0</v>
      </c>
      <c r="P77" s="15">
        <f>VLOOKUP(Belling[[#This Row],[patient_id]],Patient[#All],12,FALSE)</f>
        <v>2023</v>
      </c>
    </row>
    <row r="78" spans="1:16" x14ac:dyDescent="0.25">
      <c r="A78" t="s">
        <v>725</v>
      </c>
      <c r="B78" t="s">
        <v>537</v>
      </c>
      <c r="C78" t="s">
        <v>166</v>
      </c>
      <c r="D78" t="str">
        <f>VLOOKUP(C:C,Treatment[#All],2,0)</f>
        <v>A077</v>
      </c>
      <c r="E78" t="str">
        <f>VLOOKUP(D:D,Appointment[#All],3,0)</f>
        <v>D010</v>
      </c>
      <c r="F78" t="str">
        <f>VLOOKUP(Belling[[#This Row],[Docter_id]],Doctor[#All],2,FALSE)</f>
        <v>Linda</v>
      </c>
      <c r="G78" s="1">
        <f>VLOOKUP(Belling[[#This Row],[Appointment ID]],Appointment[#All],5,FALSE)</f>
        <v>45274</v>
      </c>
      <c r="H78" s="1">
        <v>45274</v>
      </c>
      <c r="I78">
        <v>1113.98</v>
      </c>
      <c r="J78" t="s">
        <v>652</v>
      </c>
      <c r="K78" t="s">
        <v>647</v>
      </c>
      <c r="L78" t="str">
        <f>VLOOKUP(Belling[[#This Row],[patient_id]],Patient[#All],9,FALSE)</f>
        <v>HealthIndia</v>
      </c>
      <c r="M78" t="str">
        <f t="shared" si="3"/>
        <v>Clear</v>
      </c>
      <c r="N78" t="str">
        <f>VLOOKUP(E:E,Doctor[#All],4,0)</f>
        <v>Oncology</v>
      </c>
      <c r="O78">
        <f t="shared" si="4"/>
        <v>0</v>
      </c>
      <c r="P78" s="15">
        <f>VLOOKUP(Belling[[#This Row],[patient_id]],Patient[#All],12,FALSE)</f>
        <v>2023</v>
      </c>
    </row>
    <row r="79" spans="1:16" x14ac:dyDescent="0.25">
      <c r="A79" t="s">
        <v>726</v>
      </c>
      <c r="B79" t="s">
        <v>483</v>
      </c>
      <c r="C79" t="s">
        <v>168</v>
      </c>
      <c r="D79" t="str">
        <f>VLOOKUP(C:C,Treatment[#All],2,0)</f>
        <v>A078</v>
      </c>
      <c r="E79" t="str">
        <f>VLOOKUP(D:D,Appointment[#All],3,0)</f>
        <v>D008</v>
      </c>
      <c r="F79" t="str">
        <f>VLOOKUP(Belling[[#This Row],[Docter_id]],Doctor[#All],2,FALSE)</f>
        <v>Linda</v>
      </c>
      <c r="G79" s="1">
        <f>VLOOKUP(Belling[[#This Row],[Appointment ID]],Appointment[#All],5,FALSE)</f>
        <v>45186</v>
      </c>
      <c r="H79" s="1">
        <v>45186</v>
      </c>
      <c r="I79">
        <v>3628.15</v>
      </c>
      <c r="J79" t="s">
        <v>652</v>
      </c>
      <c r="K79" t="s">
        <v>647</v>
      </c>
      <c r="L79" t="str">
        <f>VLOOKUP(Belling[[#This Row],[patient_id]],Patient[#All],9,FALSE)</f>
        <v>WellnessCorp</v>
      </c>
      <c r="M79" t="str">
        <f t="shared" si="3"/>
        <v>Clear</v>
      </c>
      <c r="N79" t="str">
        <f>VLOOKUP(E:E,Doctor[#All],4,0)</f>
        <v>Dermatology</v>
      </c>
      <c r="O79">
        <f t="shared" si="4"/>
        <v>0</v>
      </c>
      <c r="P79" s="15">
        <f>VLOOKUP(Belling[[#This Row],[patient_id]],Patient[#All],12,FALSE)</f>
        <v>2021</v>
      </c>
    </row>
    <row r="80" spans="1:16" x14ac:dyDescent="0.25">
      <c r="A80" t="s">
        <v>727</v>
      </c>
      <c r="B80" t="s">
        <v>481</v>
      </c>
      <c r="C80" t="s">
        <v>170</v>
      </c>
      <c r="D80" t="str">
        <f>VLOOKUP(C:C,Treatment[#All],2,0)</f>
        <v>A079</v>
      </c>
      <c r="E80" t="str">
        <f>VLOOKUP(D:D,Appointment[#All],3,0)</f>
        <v>D002</v>
      </c>
      <c r="F80" t="str">
        <f>VLOOKUP(Belling[[#This Row],[Docter_id]],Doctor[#All],2,FALSE)</f>
        <v>Jane</v>
      </c>
      <c r="G80" s="1">
        <f>VLOOKUP(Belling[[#This Row],[Appointment ID]],Appointment[#All],5,FALSE)</f>
        <v>45286</v>
      </c>
      <c r="H80" s="1">
        <v>45286</v>
      </c>
      <c r="I80">
        <v>2319.4299999999998</v>
      </c>
      <c r="J80" t="s">
        <v>644</v>
      </c>
      <c r="K80" t="s">
        <v>647</v>
      </c>
      <c r="L80" t="str">
        <f>VLOOKUP(Belling[[#This Row],[patient_id]],Patient[#All],9,FALSE)</f>
        <v>MedCare Plus</v>
      </c>
      <c r="M80" t="str">
        <f t="shared" si="3"/>
        <v>Clear</v>
      </c>
      <c r="N80" t="str">
        <f>VLOOKUP(E:E,Doctor[#All],4,0)</f>
        <v>Pediatrics</v>
      </c>
      <c r="O80">
        <f t="shared" si="4"/>
        <v>0</v>
      </c>
      <c r="P80" s="15">
        <f>VLOOKUP(Belling[[#This Row],[patient_id]],Patient[#All],12,FALSE)</f>
        <v>2023</v>
      </c>
    </row>
    <row r="81" spans="1:16" x14ac:dyDescent="0.25">
      <c r="A81" t="s">
        <v>728</v>
      </c>
      <c r="B81" t="s">
        <v>543</v>
      </c>
      <c r="C81" t="s">
        <v>172</v>
      </c>
      <c r="D81" t="str">
        <f>VLOOKUP(C:C,Treatment[#All],2,0)</f>
        <v>A080</v>
      </c>
      <c r="E81" t="str">
        <f>VLOOKUP(D:D,Appointment[#All],3,0)</f>
        <v>D005</v>
      </c>
      <c r="F81" t="str">
        <f>VLOOKUP(Belling[[#This Row],[Docter_id]],Doctor[#All],2,FALSE)</f>
        <v>Sarah</v>
      </c>
      <c r="G81" s="1">
        <f>VLOOKUP(Belling[[#This Row],[Appointment ID]],Appointment[#All],5,FALSE)</f>
        <v>45103</v>
      </c>
      <c r="H81" s="1">
        <v>45103</v>
      </c>
      <c r="I81">
        <v>2426.9</v>
      </c>
      <c r="J81" t="s">
        <v>652</v>
      </c>
      <c r="K81" t="s">
        <v>645</v>
      </c>
      <c r="L81" t="str">
        <f>VLOOKUP(Belling[[#This Row],[patient_id]],Patient[#All],9,FALSE)</f>
        <v>WellnessCorp</v>
      </c>
      <c r="M81" t="str">
        <f t="shared" si="3"/>
        <v>Check Required</v>
      </c>
      <c r="N81" t="str">
        <f>VLOOKUP(E:E,Doctor[#All],4,0)</f>
        <v>Dermatology</v>
      </c>
      <c r="O81">
        <f t="shared" si="4"/>
        <v>0</v>
      </c>
      <c r="P81" s="15">
        <f>VLOOKUP(Belling[[#This Row],[patient_id]],Patient[#All],12,FALSE)</f>
        <v>2022</v>
      </c>
    </row>
    <row r="82" spans="1:16" x14ac:dyDescent="0.25">
      <c r="A82" t="s">
        <v>729</v>
      </c>
      <c r="B82" t="s">
        <v>582</v>
      </c>
      <c r="C82" t="s">
        <v>174</v>
      </c>
      <c r="D82" t="str">
        <f>VLOOKUP(C:C,Treatment[#All],2,0)</f>
        <v>A081</v>
      </c>
      <c r="E82" t="str">
        <f>VLOOKUP(D:D,Appointment[#All],3,0)</f>
        <v>D007</v>
      </c>
      <c r="F82" t="str">
        <f>VLOOKUP(Belling[[#This Row],[Docter_id]],Doctor[#All],2,FALSE)</f>
        <v>Robert</v>
      </c>
      <c r="G82" s="1">
        <f>VLOOKUP(Belling[[#This Row],[Appointment ID]],Appointment[#All],5,FALSE)</f>
        <v>44932</v>
      </c>
      <c r="H82" s="1">
        <v>45078</v>
      </c>
      <c r="I82">
        <v>3729.19</v>
      </c>
      <c r="J82" t="s">
        <v>644</v>
      </c>
      <c r="K82" t="s">
        <v>645</v>
      </c>
      <c r="L82" t="str">
        <f>VLOOKUP(Belling[[#This Row],[patient_id]],Patient[#All],9,FALSE)</f>
        <v>MedCare Plus</v>
      </c>
      <c r="M82" t="str">
        <f t="shared" si="3"/>
        <v>Check Required</v>
      </c>
      <c r="N82" t="str">
        <f>VLOOKUP(E:E,Doctor[#All],4,0)</f>
        <v>Oncology</v>
      </c>
      <c r="O82">
        <f t="shared" si="4"/>
        <v>146</v>
      </c>
      <c r="P82" s="15">
        <f>VLOOKUP(Belling[[#This Row],[patient_id]],Patient[#All],12,FALSE)</f>
        <v>2021</v>
      </c>
    </row>
    <row r="83" spans="1:16" x14ac:dyDescent="0.25">
      <c r="A83" t="s">
        <v>730</v>
      </c>
      <c r="B83" t="s">
        <v>433</v>
      </c>
      <c r="C83" t="s">
        <v>176</v>
      </c>
      <c r="D83" t="str">
        <f>VLOOKUP(C:C,Treatment[#All],2,0)</f>
        <v>A082</v>
      </c>
      <c r="E83" t="str">
        <f>VLOOKUP(D:D,Appointment[#All],3,0)</f>
        <v>D008</v>
      </c>
      <c r="F83" t="str">
        <f>VLOOKUP(Belling[[#This Row],[Docter_id]],Doctor[#All],2,FALSE)</f>
        <v>Linda</v>
      </c>
      <c r="G83" s="1">
        <f>VLOOKUP(Belling[[#This Row],[Appointment ID]],Appointment[#All],5,FALSE)</f>
        <v>44946</v>
      </c>
      <c r="H83" s="1">
        <v>44946</v>
      </c>
      <c r="I83">
        <v>3615.96</v>
      </c>
      <c r="J83" t="s">
        <v>644</v>
      </c>
      <c r="K83" t="s">
        <v>645</v>
      </c>
      <c r="L83" t="str">
        <f>VLOOKUP(Belling[[#This Row],[patient_id]],Patient[#All],9,FALSE)</f>
        <v>PulseSecure</v>
      </c>
      <c r="M83" t="str">
        <f t="shared" si="3"/>
        <v>Check Required</v>
      </c>
      <c r="N83" t="str">
        <f>VLOOKUP(E:E,Doctor[#All],4,0)</f>
        <v>Dermatology</v>
      </c>
      <c r="O83">
        <f t="shared" si="4"/>
        <v>0</v>
      </c>
      <c r="P83" s="15">
        <f>VLOOKUP(Belling[[#This Row],[patient_id]],Patient[#All],12,FALSE)</f>
        <v>2022</v>
      </c>
    </row>
    <row r="84" spans="1:16" x14ac:dyDescent="0.25">
      <c r="A84" t="s">
        <v>731</v>
      </c>
      <c r="B84" t="s">
        <v>592</v>
      </c>
      <c r="C84" t="s">
        <v>178</v>
      </c>
      <c r="D84" t="str">
        <f>VLOOKUP(C:C,Treatment[#All],2,0)</f>
        <v>A083</v>
      </c>
      <c r="E84" t="str">
        <f>VLOOKUP(D:D,Appointment[#All],3,0)</f>
        <v>D001</v>
      </c>
      <c r="F84" t="str">
        <f>VLOOKUP(Belling[[#This Row],[Docter_id]],Doctor[#All],2,FALSE)</f>
        <v>David</v>
      </c>
      <c r="G84" s="1">
        <f>VLOOKUP(Belling[[#This Row],[Appointment ID]],Appointment[#All],5,FALSE)</f>
        <v>45237</v>
      </c>
      <c r="H84" s="1">
        <v>45118</v>
      </c>
      <c r="I84">
        <v>4960.6499999999996</v>
      </c>
      <c r="J84" t="s">
        <v>652</v>
      </c>
      <c r="K84" t="s">
        <v>645</v>
      </c>
      <c r="L84" t="str">
        <f>VLOOKUP(Belling[[#This Row],[patient_id]],Patient[#All],9,FALSE)</f>
        <v>WellnessCorp</v>
      </c>
      <c r="M84" t="str">
        <f t="shared" si="3"/>
        <v>Check Required</v>
      </c>
      <c r="N84" t="str">
        <f>VLOOKUP(E:E,Doctor[#All],4,0)</f>
        <v>Dermatology</v>
      </c>
      <c r="O84">
        <f t="shared" si="4"/>
        <v>-119</v>
      </c>
      <c r="P84" s="15">
        <f>VLOOKUP(Belling[[#This Row],[patient_id]],Patient[#All],12,FALSE)</f>
        <v>2023</v>
      </c>
    </row>
    <row r="85" spans="1:16" x14ac:dyDescent="0.25">
      <c r="A85" t="s">
        <v>732</v>
      </c>
      <c r="B85" t="s">
        <v>553</v>
      </c>
      <c r="C85" t="s">
        <v>180</v>
      </c>
      <c r="D85" t="str">
        <f>VLOOKUP(C:C,Treatment[#All],2,0)</f>
        <v>A084</v>
      </c>
      <c r="E85" t="str">
        <f>VLOOKUP(D:D,Appointment[#All],3,0)</f>
        <v>D006</v>
      </c>
      <c r="F85" t="str">
        <f>VLOOKUP(Belling[[#This Row],[Docter_id]],Doctor[#All],2,FALSE)</f>
        <v>Alex</v>
      </c>
      <c r="G85" s="1">
        <f>VLOOKUP(Belling[[#This Row],[Appointment ID]],Appointment[#All],5,FALSE)</f>
        <v>45077</v>
      </c>
      <c r="H85" s="1">
        <v>45077</v>
      </c>
      <c r="I85">
        <v>1077.77</v>
      </c>
      <c r="J85" t="s">
        <v>644</v>
      </c>
      <c r="K85" t="s">
        <v>645</v>
      </c>
      <c r="L85" t="str">
        <f>VLOOKUP(Belling[[#This Row],[patient_id]],Patient[#All],9,FALSE)</f>
        <v>MedCare Plus</v>
      </c>
      <c r="M85" t="str">
        <f t="shared" si="3"/>
        <v>Check Required</v>
      </c>
      <c r="N85" t="str">
        <f>VLOOKUP(E:E,Doctor[#All],4,0)</f>
        <v>Pediatrics</v>
      </c>
      <c r="O85">
        <f t="shared" si="4"/>
        <v>0</v>
      </c>
      <c r="P85" s="15">
        <f>VLOOKUP(Belling[[#This Row],[patient_id]],Patient[#All],12,FALSE)</f>
        <v>2023</v>
      </c>
    </row>
    <row r="86" spans="1:16" x14ac:dyDescent="0.25">
      <c r="A86" t="s">
        <v>733</v>
      </c>
      <c r="B86" t="s">
        <v>518</v>
      </c>
      <c r="C86" t="s">
        <v>182</v>
      </c>
      <c r="D86" t="str">
        <f>VLOOKUP(C:C,Treatment[#All],2,0)</f>
        <v>A085</v>
      </c>
      <c r="E86" t="str">
        <f>VLOOKUP(D:D,Appointment[#All],3,0)</f>
        <v>D001</v>
      </c>
      <c r="F86" t="str">
        <f>VLOOKUP(Belling[[#This Row],[Docter_id]],Doctor[#All],2,FALSE)</f>
        <v>David</v>
      </c>
      <c r="G86" s="1">
        <f>VLOOKUP(Belling[[#This Row],[Appointment ID]],Appointment[#All],5,FALSE)</f>
        <v>44975</v>
      </c>
      <c r="H86" s="1">
        <v>44975</v>
      </c>
      <c r="I86">
        <v>968.49</v>
      </c>
      <c r="J86" t="s">
        <v>652</v>
      </c>
      <c r="K86" t="s">
        <v>647</v>
      </c>
      <c r="L86" t="str">
        <f>VLOOKUP(Belling[[#This Row],[patient_id]],Patient[#All],9,FALSE)</f>
        <v>WellnessCorp</v>
      </c>
      <c r="M86" t="str">
        <f t="shared" si="3"/>
        <v>Clear</v>
      </c>
      <c r="N86" t="str">
        <f>VLOOKUP(E:E,Doctor[#All],4,0)</f>
        <v>Dermatology</v>
      </c>
      <c r="O86">
        <f t="shared" si="4"/>
        <v>0</v>
      </c>
      <c r="P86" s="15">
        <f>VLOOKUP(Belling[[#This Row],[patient_id]],Patient[#All],12,FALSE)</f>
        <v>2021</v>
      </c>
    </row>
    <row r="87" spans="1:16" x14ac:dyDescent="0.25">
      <c r="A87" t="s">
        <v>734</v>
      </c>
      <c r="B87" t="s">
        <v>495</v>
      </c>
      <c r="C87" t="s">
        <v>184</v>
      </c>
      <c r="D87" t="str">
        <f>VLOOKUP(C:C,Treatment[#All],2,0)</f>
        <v>A086</v>
      </c>
      <c r="E87" t="str">
        <f>VLOOKUP(D:D,Appointment[#All],3,0)</f>
        <v>D002</v>
      </c>
      <c r="F87" t="str">
        <f>VLOOKUP(Belling[[#This Row],[Docter_id]],Doctor[#All],2,FALSE)</f>
        <v>Jane</v>
      </c>
      <c r="G87" s="1">
        <f>VLOOKUP(Belling[[#This Row],[Appointment ID]],Appointment[#All],5,FALSE)</f>
        <v>45228</v>
      </c>
      <c r="H87" s="1">
        <v>45228</v>
      </c>
      <c r="I87">
        <v>3759.52</v>
      </c>
      <c r="J87" t="s">
        <v>655</v>
      </c>
      <c r="K87" t="s">
        <v>645</v>
      </c>
      <c r="L87" t="str">
        <f>VLOOKUP(Belling[[#This Row],[patient_id]],Patient[#All],9,FALSE)</f>
        <v>WellnessCorp</v>
      </c>
      <c r="M87" t="str">
        <f t="shared" si="3"/>
        <v>Check Required</v>
      </c>
      <c r="N87" t="str">
        <f>VLOOKUP(E:E,Doctor[#All],4,0)</f>
        <v>Pediatrics</v>
      </c>
      <c r="O87">
        <f t="shared" si="4"/>
        <v>0</v>
      </c>
      <c r="P87" s="15">
        <f>VLOOKUP(Belling[[#This Row],[patient_id]],Patient[#All],12,FALSE)</f>
        <v>2022</v>
      </c>
    </row>
    <row r="88" spans="1:16" x14ac:dyDescent="0.25">
      <c r="A88" t="s">
        <v>735</v>
      </c>
      <c r="B88" t="s">
        <v>528</v>
      </c>
      <c r="C88" t="s">
        <v>186</v>
      </c>
      <c r="D88" t="str">
        <f>VLOOKUP(C:C,Treatment[#All],2,0)</f>
        <v>A087</v>
      </c>
      <c r="E88" t="str">
        <f>VLOOKUP(D:D,Appointment[#All],3,0)</f>
        <v>D001</v>
      </c>
      <c r="F88" t="str">
        <f>VLOOKUP(Belling[[#This Row],[Docter_id]],Doctor[#All],2,FALSE)</f>
        <v>David</v>
      </c>
      <c r="G88" s="1">
        <f>VLOOKUP(Belling[[#This Row],[Appointment ID]],Appointment[#All],5,FALSE)</f>
        <v>45218</v>
      </c>
      <c r="H88" s="1">
        <v>45218</v>
      </c>
      <c r="I88">
        <v>3102.74</v>
      </c>
      <c r="J88" t="s">
        <v>655</v>
      </c>
      <c r="K88" t="s">
        <v>645</v>
      </c>
      <c r="L88" t="str">
        <f>VLOOKUP(Belling[[#This Row],[patient_id]],Patient[#All],9,FALSE)</f>
        <v>MedCare Plus</v>
      </c>
      <c r="M88" t="str">
        <f t="shared" si="3"/>
        <v>Check Required</v>
      </c>
      <c r="N88" t="str">
        <f>VLOOKUP(E:E,Doctor[#All],4,0)</f>
        <v>Dermatology</v>
      </c>
      <c r="O88">
        <f t="shared" si="4"/>
        <v>0</v>
      </c>
      <c r="P88" s="15">
        <f>VLOOKUP(Belling[[#This Row],[patient_id]],Patient[#All],12,FALSE)</f>
        <v>2021</v>
      </c>
    </row>
    <row r="89" spans="1:16" x14ac:dyDescent="0.25">
      <c r="A89" t="s">
        <v>736</v>
      </c>
      <c r="B89" t="s">
        <v>466</v>
      </c>
      <c r="C89" t="s">
        <v>188</v>
      </c>
      <c r="D89" t="str">
        <f>VLOOKUP(C:C,Treatment[#All],2,0)</f>
        <v>A088</v>
      </c>
      <c r="E89" t="str">
        <f>VLOOKUP(D:D,Appointment[#All],3,0)</f>
        <v>D005</v>
      </c>
      <c r="F89" t="str">
        <f>VLOOKUP(Belling[[#This Row],[Docter_id]],Doctor[#All],2,FALSE)</f>
        <v>Sarah</v>
      </c>
      <c r="G89" s="1">
        <f>VLOOKUP(Belling[[#This Row],[Appointment ID]],Appointment[#All],5,FALSE)</f>
        <v>45048</v>
      </c>
      <c r="H89" s="1">
        <v>44962</v>
      </c>
      <c r="I89">
        <v>1733.72</v>
      </c>
      <c r="J89" t="s">
        <v>655</v>
      </c>
      <c r="K89" t="s">
        <v>647</v>
      </c>
      <c r="L89" t="str">
        <f>VLOOKUP(Belling[[#This Row],[patient_id]],Patient[#All],9,FALSE)</f>
        <v>WellnessCorp</v>
      </c>
      <c r="M89" t="str">
        <f t="shared" si="3"/>
        <v>Clear</v>
      </c>
      <c r="N89" t="str">
        <f>VLOOKUP(E:E,Doctor[#All],4,0)</f>
        <v>Dermatology</v>
      </c>
      <c r="O89">
        <f t="shared" si="4"/>
        <v>-86</v>
      </c>
      <c r="P89" s="15">
        <f>VLOOKUP(Belling[[#This Row],[patient_id]],Patient[#All],12,FALSE)</f>
        <v>2021</v>
      </c>
    </row>
    <row r="90" spans="1:16" x14ac:dyDescent="0.25">
      <c r="A90" t="s">
        <v>737</v>
      </c>
      <c r="B90" t="s">
        <v>537</v>
      </c>
      <c r="C90" t="s">
        <v>190</v>
      </c>
      <c r="D90" t="str">
        <f>VLOOKUP(C:C,Treatment[#All],2,0)</f>
        <v>A089</v>
      </c>
      <c r="E90" t="str">
        <f>VLOOKUP(D:D,Appointment[#All],3,0)</f>
        <v>D010</v>
      </c>
      <c r="F90" t="str">
        <f>VLOOKUP(Belling[[#This Row],[Docter_id]],Doctor[#All],2,FALSE)</f>
        <v>Linda</v>
      </c>
      <c r="G90" s="1">
        <f>VLOOKUP(Belling[[#This Row],[Appointment ID]],Appointment[#All],5,FALSE)</f>
        <v>44971</v>
      </c>
      <c r="H90" s="1">
        <v>44971</v>
      </c>
      <c r="I90">
        <v>857.39</v>
      </c>
      <c r="J90" t="s">
        <v>655</v>
      </c>
      <c r="K90" t="s">
        <v>645</v>
      </c>
      <c r="L90" t="str">
        <f>VLOOKUP(Belling[[#This Row],[patient_id]],Patient[#All],9,FALSE)</f>
        <v>HealthIndia</v>
      </c>
      <c r="M90" t="str">
        <f t="shared" si="3"/>
        <v>Check Required</v>
      </c>
      <c r="N90" t="str">
        <f>VLOOKUP(E:E,Doctor[#All],4,0)</f>
        <v>Oncology</v>
      </c>
      <c r="O90">
        <f t="shared" si="4"/>
        <v>0</v>
      </c>
      <c r="P90" s="15">
        <f>VLOOKUP(Belling[[#This Row],[patient_id]],Patient[#All],12,FALSE)</f>
        <v>2023</v>
      </c>
    </row>
    <row r="91" spans="1:16" x14ac:dyDescent="0.25">
      <c r="A91" t="s">
        <v>738</v>
      </c>
      <c r="B91" t="s">
        <v>528</v>
      </c>
      <c r="C91" t="s">
        <v>192</v>
      </c>
      <c r="D91" t="str">
        <f>VLOOKUP(C:C,Treatment[#All],2,0)</f>
        <v>A090</v>
      </c>
      <c r="E91" t="str">
        <f>VLOOKUP(D:D,Appointment[#All],3,0)</f>
        <v>D009</v>
      </c>
      <c r="F91" t="str">
        <f>VLOOKUP(Belling[[#This Row],[Docter_id]],Doctor[#All],2,FALSE)</f>
        <v>Sarah</v>
      </c>
      <c r="G91" s="1">
        <f>VLOOKUP(Belling[[#This Row],[Appointment ID]],Appointment[#All],5,FALSE)</f>
        <v>45078</v>
      </c>
      <c r="H91" s="1">
        <v>44932</v>
      </c>
      <c r="I91">
        <v>885.46</v>
      </c>
      <c r="J91" t="s">
        <v>644</v>
      </c>
      <c r="K91" t="s">
        <v>647</v>
      </c>
      <c r="L91" t="str">
        <f>VLOOKUP(Belling[[#This Row],[patient_id]],Patient[#All],9,FALSE)</f>
        <v>MedCare Plus</v>
      </c>
      <c r="M91" t="str">
        <f t="shared" si="3"/>
        <v>Clear</v>
      </c>
      <c r="N91" t="str">
        <f>VLOOKUP(E:E,Doctor[#All],4,0)</f>
        <v>Pediatrics</v>
      </c>
      <c r="O91">
        <f t="shared" si="4"/>
        <v>-146</v>
      </c>
      <c r="P91" s="15">
        <f>VLOOKUP(Belling[[#This Row],[patient_id]],Patient[#All],12,FALSE)</f>
        <v>2021</v>
      </c>
    </row>
    <row r="92" spans="1:16" x14ac:dyDescent="0.25">
      <c r="A92" t="s">
        <v>739</v>
      </c>
      <c r="B92" t="s">
        <v>474</v>
      </c>
      <c r="C92" t="s">
        <v>194</v>
      </c>
      <c r="D92" t="str">
        <f>VLOOKUP(C:C,Treatment[#All],2,0)</f>
        <v>A091</v>
      </c>
      <c r="E92" t="str">
        <f>VLOOKUP(D:D,Appointment[#All],3,0)</f>
        <v>D006</v>
      </c>
      <c r="F92" t="str">
        <f>VLOOKUP(Belling[[#This Row],[Docter_id]],Doctor[#All],2,FALSE)</f>
        <v>Alex</v>
      </c>
      <c r="G92" s="1">
        <f>VLOOKUP(Belling[[#This Row],[Appointment ID]],Appointment[#All],5,FALSE)</f>
        <v>45088</v>
      </c>
      <c r="H92" s="1">
        <v>45236</v>
      </c>
      <c r="I92">
        <v>4523.8599999999997</v>
      </c>
      <c r="J92" t="s">
        <v>652</v>
      </c>
      <c r="K92" t="s">
        <v>647</v>
      </c>
      <c r="L92" t="str">
        <f>VLOOKUP(Belling[[#This Row],[patient_id]],Patient[#All],9,FALSE)</f>
        <v>WellnessCorp</v>
      </c>
      <c r="M92" t="str">
        <f t="shared" si="3"/>
        <v>Clear</v>
      </c>
      <c r="N92" t="str">
        <f>VLOOKUP(E:E,Doctor[#All],4,0)</f>
        <v>Pediatrics</v>
      </c>
      <c r="O92">
        <f t="shared" si="4"/>
        <v>148</v>
      </c>
      <c r="P92" s="15">
        <f>VLOOKUP(Belling[[#This Row],[patient_id]],Patient[#All],12,FALSE)</f>
        <v>2022</v>
      </c>
    </row>
    <row r="93" spans="1:16" x14ac:dyDescent="0.25">
      <c r="A93" t="s">
        <v>740</v>
      </c>
      <c r="B93" t="s">
        <v>528</v>
      </c>
      <c r="C93" t="s">
        <v>196</v>
      </c>
      <c r="D93" t="str">
        <f>VLOOKUP(C:C,Treatment[#All],2,0)</f>
        <v>A092</v>
      </c>
      <c r="E93" t="str">
        <f>VLOOKUP(D:D,Appointment[#All],3,0)</f>
        <v>D001</v>
      </c>
      <c r="F93" t="str">
        <f>VLOOKUP(Belling[[#This Row],[Docter_id]],Doctor[#All],2,FALSE)</f>
        <v>David</v>
      </c>
      <c r="G93" s="1">
        <f>VLOOKUP(Belling[[#This Row],[Appointment ID]],Appointment[#All],5,FALSE)</f>
        <v>44956</v>
      </c>
      <c r="H93" s="1">
        <v>44956</v>
      </c>
      <c r="I93">
        <v>1363.4</v>
      </c>
      <c r="J93" t="s">
        <v>652</v>
      </c>
      <c r="K93" t="s">
        <v>650</v>
      </c>
      <c r="L93" t="str">
        <f>VLOOKUP(Belling[[#This Row],[patient_id]],Patient[#All],9,FALSE)</f>
        <v>MedCare Plus</v>
      </c>
      <c r="M93" t="str">
        <f t="shared" si="3"/>
        <v>Check Required</v>
      </c>
      <c r="N93" t="str">
        <f>VLOOKUP(E:E,Doctor[#All],4,0)</f>
        <v>Dermatology</v>
      </c>
      <c r="O93">
        <f t="shared" si="4"/>
        <v>0</v>
      </c>
      <c r="P93" s="15">
        <f>VLOOKUP(Belling[[#This Row],[patient_id]],Patient[#All],12,FALSE)</f>
        <v>2021</v>
      </c>
    </row>
    <row r="94" spans="1:16" x14ac:dyDescent="0.25">
      <c r="A94" t="s">
        <v>741</v>
      </c>
      <c r="B94" t="s">
        <v>550</v>
      </c>
      <c r="C94" t="s">
        <v>198</v>
      </c>
      <c r="D94" t="str">
        <f>VLOOKUP(C:C,Treatment[#All],2,0)</f>
        <v>A093</v>
      </c>
      <c r="E94" t="str">
        <f>VLOOKUP(D:D,Appointment[#All],3,0)</f>
        <v>D001</v>
      </c>
      <c r="F94" t="str">
        <f>VLOOKUP(Belling[[#This Row],[Docter_id]],Doctor[#All],2,FALSE)</f>
        <v>David</v>
      </c>
      <c r="G94" s="1">
        <f>VLOOKUP(Belling[[#This Row],[Appointment ID]],Appointment[#All],5,FALSE)</f>
        <v>45025</v>
      </c>
      <c r="H94" s="1">
        <v>45173</v>
      </c>
      <c r="I94">
        <v>1955.17</v>
      </c>
      <c r="J94" t="s">
        <v>652</v>
      </c>
      <c r="K94" t="s">
        <v>650</v>
      </c>
      <c r="L94" t="str">
        <f>VLOOKUP(Belling[[#This Row],[patient_id]],Patient[#All],9,FALSE)</f>
        <v>WellnessCorp</v>
      </c>
      <c r="M94" t="str">
        <f t="shared" si="3"/>
        <v>Check Required</v>
      </c>
      <c r="N94" t="str">
        <f>VLOOKUP(E:E,Doctor[#All],4,0)</f>
        <v>Dermatology</v>
      </c>
      <c r="O94">
        <f t="shared" si="4"/>
        <v>148</v>
      </c>
      <c r="P94" s="15">
        <f>VLOOKUP(Belling[[#This Row],[patient_id]],Patient[#All],12,FALSE)</f>
        <v>2023</v>
      </c>
    </row>
    <row r="95" spans="1:16" x14ac:dyDescent="0.25">
      <c r="A95" t="s">
        <v>742</v>
      </c>
      <c r="B95" t="s">
        <v>568</v>
      </c>
      <c r="C95" t="s">
        <v>200</v>
      </c>
      <c r="D95" t="str">
        <f>VLOOKUP(C:C,Treatment[#All],2,0)</f>
        <v>A094</v>
      </c>
      <c r="E95" t="str">
        <f>VLOOKUP(D:D,Appointment[#All],3,0)</f>
        <v>D002</v>
      </c>
      <c r="F95" t="str">
        <f>VLOOKUP(Belling[[#This Row],[Docter_id]],Doctor[#All],2,FALSE)</f>
        <v>Jane</v>
      </c>
      <c r="G95" s="1">
        <f>VLOOKUP(Belling[[#This Row],[Appointment ID]],Appointment[#All],5,FALSE)</f>
        <v>45024</v>
      </c>
      <c r="H95" s="1">
        <v>45142</v>
      </c>
      <c r="I95">
        <v>1519.95</v>
      </c>
      <c r="J95" t="s">
        <v>655</v>
      </c>
      <c r="K95" t="s">
        <v>650</v>
      </c>
      <c r="L95" t="str">
        <f>VLOOKUP(Belling[[#This Row],[patient_id]],Patient[#All],9,FALSE)</f>
        <v>WellnessCorp</v>
      </c>
      <c r="M95" t="str">
        <f t="shared" si="3"/>
        <v>Check Required</v>
      </c>
      <c r="N95" t="str">
        <f>VLOOKUP(E:E,Doctor[#All],4,0)</f>
        <v>Pediatrics</v>
      </c>
      <c r="O95">
        <f t="shared" si="4"/>
        <v>118</v>
      </c>
      <c r="P95" s="15">
        <f>VLOOKUP(Belling[[#This Row],[patient_id]],Patient[#All],12,FALSE)</f>
        <v>2022</v>
      </c>
    </row>
    <row r="96" spans="1:16" x14ac:dyDescent="0.25">
      <c r="A96" t="s">
        <v>743</v>
      </c>
      <c r="B96" t="s">
        <v>462</v>
      </c>
      <c r="C96" t="s">
        <v>202</v>
      </c>
      <c r="D96" t="str">
        <f>VLOOKUP(C:C,Treatment[#All],2,0)</f>
        <v>A095</v>
      </c>
      <c r="E96" t="str">
        <f>VLOOKUP(D:D,Appointment[#All],3,0)</f>
        <v>D009</v>
      </c>
      <c r="F96" t="str">
        <f>VLOOKUP(Belling[[#This Row],[Docter_id]],Doctor[#All],2,FALSE)</f>
        <v>Sarah</v>
      </c>
      <c r="G96" s="1">
        <f>VLOOKUP(Belling[[#This Row],[Appointment ID]],Appointment[#All],5,FALSE)</f>
        <v>45055</v>
      </c>
      <c r="H96" s="1">
        <v>45174</v>
      </c>
      <c r="I96">
        <v>2097.48</v>
      </c>
      <c r="J96" t="s">
        <v>655</v>
      </c>
      <c r="K96" t="s">
        <v>650</v>
      </c>
      <c r="L96" t="str">
        <f>VLOOKUP(Belling[[#This Row],[patient_id]],Patient[#All],9,FALSE)</f>
        <v>MedCare Plus</v>
      </c>
      <c r="M96" t="str">
        <f t="shared" si="3"/>
        <v>Check Required</v>
      </c>
      <c r="N96" t="str">
        <f>VLOOKUP(E:E,Doctor[#All],4,0)</f>
        <v>Pediatrics</v>
      </c>
      <c r="O96">
        <f t="shared" si="4"/>
        <v>119</v>
      </c>
      <c r="P96" s="15">
        <f>VLOOKUP(Belling[[#This Row],[patient_id]],Patient[#All],12,FALSE)</f>
        <v>2021</v>
      </c>
    </row>
    <row r="97" spans="1:16" x14ac:dyDescent="0.25">
      <c r="A97" t="s">
        <v>744</v>
      </c>
      <c r="B97" t="s">
        <v>446</v>
      </c>
      <c r="C97" t="s">
        <v>204</v>
      </c>
      <c r="D97" t="str">
        <f>VLOOKUP(C:C,Treatment[#All],2,0)</f>
        <v>A096</v>
      </c>
      <c r="E97" t="str">
        <f>VLOOKUP(D:D,Appointment[#All],3,0)</f>
        <v>D003</v>
      </c>
      <c r="F97" t="str">
        <f>VLOOKUP(Belling[[#This Row],[Docter_id]],Doctor[#All],2,FALSE)</f>
        <v>Jane</v>
      </c>
      <c r="G97" s="1">
        <f>VLOOKUP(Belling[[#This Row],[Appointment ID]],Appointment[#All],5,FALSE)</f>
        <v>45114</v>
      </c>
      <c r="H97" s="1">
        <v>45114</v>
      </c>
      <c r="I97">
        <v>812.41</v>
      </c>
      <c r="J97" t="s">
        <v>652</v>
      </c>
      <c r="K97" t="s">
        <v>645</v>
      </c>
      <c r="L97" t="str">
        <f>VLOOKUP(Belling[[#This Row],[patient_id]],Patient[#All],9,FALSE)</f>
        <v>HealthIndia</v>
      </c>
      <c r="M97" t="str">
        <f t="shared" si="3"/>
        <v>Check Required</v>
      </c>
      <c r="N97" t="str">
        <f>VLOOKUP(E:E,Doctor[#All],4,0)</f>
        <v>Pediatrics</v>
      </c>
      <c r="O97">
        <f t="shared" si="4"/>
        <v>0</v>
      </c>
      <c r="P97" s="15">
        <f>VLOOKUP(Belling[[#This Row],[patient_id]],Patient[#All],12,FALSE)</f>
        <v>2021</v>
      </c>
    </row>
    <row r="98" spans="1:16" x14ac:dyDescent="0.25">
      <c r="A98" t="s">
        <v>745</v>
      </c>
      <c r="B98" t="s">
        <v>592</v>
      </c>
      <c r="C98" t="s">
        <v>206</v>
      </c>
      <c r="D98" t="str">
        <f>VLOOKUP(C:C,Treatment[#All],2,0)</f>
        <v>A097</v>
      </c>
      <c r="E98" t="str">
        <f>VLOOKUP(D:D,Appointment[#All],3,0)</f>
        <v>D001</v>
      </c>
      <c r="F98" t="str">
        <f>VLOOKUP(Belling[[#This Row],[Docter_id]],Doctor[#All],2,FALSE)</f>
        <v>David</v>
      </c>
      <c r="G98" s="1">
        <f>VLOOKUP(Belling[[#This Row],[Appointment ID]],Appointment[#All],5,FALSE)</f>
        <v>45052</v>
      </c>
      <c r="H98" s="1">
        <v>45082</v>
      </c>
      <c r="I98">
        <v>2835.77</v>
      </c>
      <c r="J98" t="s">
        <v>655</v>
      </c>
      <c r="K98" t="s">
        <v>650</v>
      </c>
      <c r="L98" t="str">
        <f>VLOOKUP(Belling[[#This Row],[patient_id]],Patient[#All],9,FALSE)</f>
        <v>WellnessCorp</v>
      </c>
      <c r="M98" t="str">
        <f t="shared" ref="M98:M129" si="5">IF(OR(K98="Failed", K98="Pending"), "Check Required", "Clear")</f>
        <v>Check Required</v>
      </c>
      <c r="N98" t="str">
        <f>VLOOKUP(E:E,Doctor[#All],4,0)</f>
        <v>Dermatology</v>
      </c>
      <c r="O98">
        <f t="shared" si="4"/>
        <v>30</v>
      </c>
      <c r="P98" s="15">
        <f>VLOOKUP(Belling[[#This Row],[patient_id]],Patient[#All],12,FALSE)</f>
        <v>2023</v>
      </c>
    </row>
    <row r="99" spans="1:16" x14ac:dyDescent="0.25">
      <c r="A99" t="s">
        <v>746</v>
      </c>
      <c r="B99" t="s">
        <v>579</v>
      </c>
      <c r="C99" t="s">
        <v>208</v>
      </c>
      <c r="D99" t="str">
        <f>VLOOKUP(C:C,Treatment[#All],2,0)</f>
        <v>A098</v>
      </c>
      <c r="E99" t="str">
        <f>VLOOKUP(D:D,Appointment[#All],3,0)</f>
        <v>D005</v>
      </c>
      <c r="F99" t="str">
        <f>VLOOKUP(Belling[[#This Row],[Docter_id]],Doctor[#All],2,FALSE)</f>
        <v>Sarah</v>
      </c>
      <c r="G99" s="1">
        <f>VLOOKUP(Belling[[#This Row],[Appointment ID]],Appointment[#All],5,FALSE)</f>
        <v>45002</v>
      </c>
      <c r="H99" s="1">
        <v>45002</v>
      </c>
      <c r="I99">
        <v>804.26</v>
      </c>
      <c r="J99" t="s">
        <v>652</v>
      </c>
      <c r="K99" t="s">
        <v>647</v>
      </c>
      <c r="L99" t="str">
        <f>VLOOKUP(Belling[[#This Row],[patient_id]],Patient[#All],9,FALSE)</f>
        <v>MedCare Plus</v>
      </c>
      <c r="M99" t="str">
        <f t="shared" si="5"/>
        <v>Clear</v>
      </c>
      <c r="N99" t="str">
        <f>VLOOKUP(E:E,Doctor[#All],4,0)</f>
        <v>Dermatology</v>
      </c>
      <c r="O99">
        <f t="shared" si="4"/>
        <v>0</v>
      </c>
      <c r="P99" s="15">
        <f>VLOOKUP(Belling[[#This Row],[patient_id]],Patient[#All],12,FALSE)</f>
        <v>2021</v>
      </c>
    </row>
    <row r="100" spans="1:16" x14ac:dyDescent="0.25">
      <c r="A100" t="s">
        <v>747</v>
      </c>
      <c r="B100" t="s">
        <v>478</v>
      </c>
      <c r="C100" t="s">
        <v>210</v>
      </c>
      <c r="D100" t="str">
        <f>VLOOKUP(C:C,Treatment[#All],2,0)</f>
        <v>A099</v>
      </c>
      <c r="E100" t="str">
        <f>VLOOKUP(D:D,Appointment[#All],3,0)</f>
        <v>D007</v>
      </c>
      <c r="F100" t="str">
        <f>VLOOKUP(Belling[[#This Row],[Docter_id]],Doctor[#All],2,FALSE)</f>
        <v>Robert</v>
      </c>
      <c r="G100" s="1">
        <f>VLOOKUP(Belling[[#This Row],[Appointment ID]],Appointment[#All],5,FALSE)</f>
        <v>45111</v>
      </c>
      <c r="H100" s="1">
        <v>45023</v>
      </c>
      <c r="I100">
        <v>4101.6000000000004</v>
      </c>
      <c r="J100" t="s">
        <v>652</v>
      </c>
      <c r="K100" t="s">
        <v>645</v>
      </c>
      <c r="L100" t="str">
        <f>VLOOKUP(Belling[[#This Row],[patient_id]],Patient[#All],9,FALSE)</f>
        <v>MedCare Plus</v>
      </c>
      <c r="M100" t="str">
        <f t="shared" si="5"/>
        <v>Check Required</v>
      </c>
      <c r="N100" t="str">
        <f>VLOOKUP(E:E,Doctor[#All],4,0)</f>
        <v>Oncology</v>
      </c>
      <c r="O100">
        <f t="shared" si="4"/>
        <v>-88</v>
      </c>
      <c r="P100" s="15">
        <f>VLOOKUP(Belling[[#This Row],[patient_id]],Patient[#All],12,FALSE)</f>
        <v>2022</v>
      </c>
    </row>
    <row r="101" spans="1:16" x14ac:dyDescent="0.25">
      <c r="A101" t="s">
        <v>748</v>
      </c>
      <c r="B101" t="s">
        <v>537</v>
      </c>
      <c r="C101" t="s">
        <v>212</v>
      </c>
      <c r="D101" t="str">
        <f>VLOOKUP(C:C,Treatment[#All],2,0)</f>
        <v>A100</v>
      </c>
      <c r="E101" t="str">
        <f>VLOOKUP(D:D,Appointment[#All],3,0)</f>
        <v>D006</v>
      </c>
      <c r="F101" t="str">
        <f>VLOOKUP(Belling[[#This Row],[Docter_id]],Doctor[#All],2,FALSE)</f>
        <v>Alex</v>
      </c>
      <c r="G101" s="1">
        <f>VLOOKUP(Belling[[#This Row],[Appointment ID]],Appointment[#All],5,FALSE)</f>
        <v>44987</v>
      </c>
      <c r="H101" s="1">
        <v>44960</v>
      </c>
      <c r="I101">
        <v>1551.7</v>
      </c>
      <c r="J101" t="s">
        <v>652</v>
      </c>
      <c r="K101" t="s">
        <v>650</v>
      </c>
      <c r="L101" t="str">
        <f>VLOOKUP(Belling[[#This Row],[patient_id]],Patient[#All],9,FALSE)</f>
        <v>HealthIndia</v>
      </c>
      <c r="M101" t="str">
        <f t="shared" si="5"/>
        <v>Check Required</v>
      </c>
      <c r="N101" t="str">
        <f>VLOOKUP(E:E,Doctor[#All],4,0)</f>
        <v>Pediatrics</v>
      </c>
      <c r="O101">
        <f t="shared" si="4"/>
        <v>-27</v>
      </c>
      <c r="P101" s="15">
        <f>VLOOKUP(Belling[[#This Row],[patient_id]],Patient[#All],12,FALSE)</f>
        <v>2023</v>
      </c>
    </row>
    <row r="102" spans="1:16" x14ac:dyDescent="0.25">
      <c r="A102" t="s">
        <v>749</v>
      </c>
      <c r="B102" t="s">
        <v>555</v>
      </c>
      <c r="C102" t="s">
        <v>214</v>
      </c>
      <c r="D102" t="str">
        <f>VLOOKUP(C:C,Treatment[#All],2,0)</f>
        <v>A101</v>
      </c>
      <c r="E102" t="str">
        <f>VLOOKUP(D:D,Appointment[#All],3,0)</f>
        <v>D001</v>
      </c>
      <c r="F102" t="str">
        <f>VLOOKUP(Belling[[#This Row],[Docter_id]],Doctor[#All],2,FALSE)</f>
        <v>David</v>
      </c>
      <c r="G102" s="1">
        <f>VLOOKUP(Belling[[#This Row],[Appointment ID]],Appointment[#All],5,FALSE)</f>
        <v>45190</v>
      </c>
      <c r="H102" s="1">
        <v>45190</v>
      </c>
      <c r="I102">
        <v>2930.05</v>
      </c>
      <c r="J102" t="s">
        <v>652</v>
      </c>
      <c r="K102" t="s">
        <v>647</v>
      </c>
      <c r="L102" t="str">
        <f>VLOOKUP(Belling[[#This Row],[patient_id]],Patient[#All],9,FALSE)</f>
        <v>MedCare Plus</v>
      </c>
      <c r="M102" t="str">
        <f t="shared" si="5"/>
        <v>Clear</v>
      </c>
      <c r="N102" t="str">
        <f>VLOOKUP(E:E,Doctor[#All],4,0)</f>
        <v>Dermatology</v>
      </c>
      <c r="O102">
        <f t="shared" si="4"/>
        <v>0</v>
      </c>
      <c r="P102" s="15">
        <f>VLOOKUP(Belling[[#This Row],[patient_id]],Patient[#All],12,FALSE)</f>
        <v>2022</v>
      </c>
    </row>
    <row r="103" spans="1:16" x14ac:dyDescent="0.25">
      <c r="A103" t="s">
        <v>750</v>
      </c>
      <c r="B103" t="s">
        <v>524</v>
      </c>
      <c r="C103" t="s">
        <v>216</v>
      </c>
      <c r="D103" t="str">
        <f>VLOOKUP(C:C,Treatment[#All],2,0)</f>
        <v>A102</v>
      </c>
      <c r="E103" t="str">
        <f>VLOOKUP(D:D,Appointment[#All],3,0)</f>
        <v>D005</v>
      </c>
      <c r="F103" t="str">
        <f>VLOOKUP(Belling[[#This Row],[Docter_id]],Doctor[#All],2,FALSE)</f>
        <v>Sarah</v>
      </c>
      <c r="G103" s="1">
        <f>VLOOKUP(Belling[[#This Row],[Appointment ID]],Appointment[#All],5,FALSE)</f>
        <v>45224</v>
      </c>
      <c r="H103" s="1">
        <v>45224</v>
      </c>
      <c r="I103">
        <v>4460.3599999999997</v>
      </c>
      <c r="J103" t="s">
        <v>652</v>
      </c>
      <c r="K103" t="s">
        <v>645</v>
      </c>
      <c r="L103" t="str">
        <f>VLOOKUP(Belling[[#This Row],[patient_id]],Patient[#All],9,FALSE)</f>
        <v>HealthIndia</v>
      </c>
      <c r="M103" t="str">
        <f t="shared" si="5"/>
        <v>Check Required</v>
      </c>
      <c r="N103" t="str">
        <f>VLOOKUP(E:E,Doctor[#All],4,0)</f>
        <v>Dermatology</v>
      </c>
      <c r="O103">
        <f t="shared" si="4"/>
        <v>0</v>
      </c>
      <c r="P103" s="15">
        <f>VLOOKUP(Belling[[#This Row],[patient_id]],Patient[#All],12,FALSE)</f>
        <v>2021</v>
      </c>
    </row>
    <row r="104" spans="1:16" x14ac:dyDescent="0.25">
      <c r="A104" t="s">
        <v>751</v>
      </c>
      <c r="B104" t="s">
        <v>510</v>
      </c>
      <c r="C104" t="s">
        <v>218</v>
      </c>
      <c r="D104" t="str">
        <f>VLOOKUP(C:C,Treatment[#All],2,0)</f>
        <v>A103</v>
      </c>
      <c r="E104" t="str">
        <f>VLOOKUP(D:D,Appointment[#All],3,0)</f>
        <v>D005</v>
      </c>
      <c r="F104" t="str">
        <f>VLOOKUP(Belling[[#This Row],[Docter_id]],Doctor[#All],2,FALSE)</f>
        <v>Sarah</v>
      </c>
      <c r="G104" s="1">
        <f>VLOOKUP(Belling[[#This Row],[Appointment ID]],Appointment[#All],5,FALSE)</f>
        <v>44950</v>
      </c>
      <c r="H104" s="1">
        <v>44950</v>
      </c>
      <c r="I104">
        <v>3428.95</v>
      </c>
      <c r="J104" t="s">
        <v>652</v>
      </c>
      <c r="K104" t="s">
        <v>645</v>
      </c>
      <c r="L104" t="str">
        <f>VLOOKUP(Belling[[#This Row],[patient_id]],Patient[#All],9,FALSE)</f>
        <v>WellnessCorp</v>
      </c>
      <c r="M104" t="str">
        <f t="shared" si="5"/>
        <v>Check Required</v>
      </c>
      <c r="N104" t="str">
        <f>VLOOKUP(E:E,Doctor[#All],4,0)</f>
        <v>Dermatology</v>
      </c>
      <c r="O104">
        <f t="shared" si="4"/>
        <v>0</v>
      </c>
      <c r="P104" s="15">
        <f>VLOOKUP(Belling[[#This Row],[patient_id]],Patient[#All],12,FALSE)</f>
        <v>2022</v>
      </c>
    </row>
    <row r="105" spans="1:16" x14ac:dyDescent="0.25">
      <c r="A105" t="s">
        <v>752</v>
      </c>
      <c r="B105" t="s">
        <v>555</v>
      </c>
      <c r="C105" t="s">
        <v>220</v>
      </c>
      <c r="D105" t="str">
        <f>VLOOKUP(C:C,Treatment[#All],2,0)</f>
        <v>A104</v>
      </c>
      <c r="E105" t="str">
        <f>VLOOKUP(D:D,Appointment[#All],3,0)</f>
        <v>D006</v>
      </c>
      <c r="F105" t="str">
        <f>VLOOKUP(Belling[[#This Row],[Docter_id]],Doctor[#All],2,FALSE)</f>
        <v>Alex</v>
      </c>
      <c r="G105" s="1">
        <f>VLOOKUP(Belling[[#This Row],[Appointment ID]],Appointment[#All],5,FALSE)</f>
        <v>45034</v>
      </c>
      <c r="H105" s="1">
        <v>45034</v>
      </c>
      <c r="I105">
        <v>2898.31</v>
      </c>
      <c r="J105" t="s">
        <v>652</v>
      </c>
      <c r="K105" t="s">
        <v>650</v>
      </c>
      <c r="L105" t="str">
        <f>VLOOKUP(Belling[[#This Row],[patient_id]],Patient[#All],9,FALSE)</f>
        <v>MedCare Plus</v>
      </c>
      <c r="M105" t="str">
        <f t="shared" si="5"/>
        <v>Check Required</v>
      </c>
      <c r="N105" t="str">
        <f>VLOOKUP(E:E,Doctor[#All],4,0)</f>
        <v>Pediatrics</v>
      </c>
      <c r="O105">
        <f t="shared" si="4"/>
        <v>0</v>
      </c>
      <c r="P105" s="15">
        <f>VLOOKUP(Belling[[#This Row],[patient_id]],Patient[#All],12,FALSE)</f>
        <v>2022</v>
      </c>
    </row>
    <row r="106" spans="1:16" x14ac:dyDescent="0.25">
      <c r="A106" t="s">
        <v>753</v>
      </c>
      <c r="B106" t="s">
        <v>474</v>
      </c>
      <c r="C106" t="s">
        <v>222</v>
      </c>
      <c r="D106" t="str">
        <f>VLOOKUP(C:C,Treatment[#All],2,0)</f>
        <v>A105</v>
      </c>
      <c r="E106" t="str">
        <f>VLOOKUP(D:D,Appointment[#All],3,0)</f>
        <v>D003</v>
      </c>
      <c r="F106" t="str">
        <f>VLOOKUP(Belling[[#This Row],[Docter_id]],Doctor[#All],2,FALSE)</f>
        <v>Jane</v>
      </c>
      <c r="G106" s="1">
        <f>VLOOKUP(Belling[[#This Row],[Appointment ID]],Appointment[#All],5,FALSE)</f>
        <v>45152</v>
      </c>
      <c r="H106" s="1">
        <v>45152</v>
      </c>
      <c r="I106">
        <v>1959.5</v>
      </c>
      <c r="J106" t="s">
        <v>655</v>
      </c>
      <c r="K106" t="s">
        <v>645</v>
      </c>
      <c r="L106" t="str">
        <f>VLOOKUP(Belling[[#This Row],[patient_id]],Patient[#All],9,FALSE)</f>
        <v>WellnessCorp</v>
      </c>
      <c r="M106" t="str">
        <f t="shared" si="5"/>
        <v>Check Required</v>
      </c>
      <c r="N106" t="str">
        <f>VLOOKUP(E:E,Doctor[#All],4,0)</f>
        <v>Pediatrics</v>
      </c>
      <c r="O106">
        <f t="shared" si="4"/>
        <v>0</v>
      </c>
      <c r="P106" s="15">
        <f>VLOOKUP(Belling[[#This Row],[patient_id]],Patient[#All],12,FALSE)</f>
        <v>2022</v>
      </c>
    </row>
    <row r="107" spans="1:16" x14ac:dyDescent="0.25">
      <c r="A107" t="s">
        <v>754</v>
      </c>
      <c r="B107" t="s">
        <v>557</v>
      </c>
      <c r="C107" t="s">
        <v>224</v>
      </c>
      <c r="D107" t="str">
        <f>VLOOKUP(C:C,Treatment[#All],2,0)</f>
        <v>A106</v>
      </c>
      <c r="E107" t="str">
        <f>VLOOKUP(D:D,Appointment[#All],3,0)</f>
        <v>D005</v>
      </c>
      <c r="F107" t="str">
        <f>VLOOKUP(Belling[[#This Row],[Docter_id]],Doctor[#All],2,FALSE)</f>
        <v>Sarah</v>
      </c>
      <c r="G107" s="1">
        <f>VLOOKUP(Belling[[#This Row],[Appointment ID]],Appointment[#All],5,FALSE)</f>
        <v>45228</v>
      </c>
      <c r="H107" s="1">
        <v>45228</v>
      </c>
      <c r="I107">
        <v>1998.51</v>
      </c>
      <c r="J107" t="s">
        <v>652</v>
      </c>
      <c r="K107" t="s">
        <v>647</v>
      </c>
      <c r="L107" t="str">
        <f>VLOOKUP(Belling[[#This Row],[patient_id]],Patient[#All],9,FALSE)</f>
        <v>HealthIndia</v>
      </c>
      <c r="M107" t="str">
        <f t="shared" si="5"/>
        <v>Clear</v>
      </c>
      <c r="N107" t="str">
        <f>VLOOKUP(E:E,Doctor[#All],4,0)</f>
        <v>Dermatology</v>
      </c>
      <c r="O107">
        <f t="shared" si="4"/>
        <v>0</v>
      </c>
      <c r="P107" s="15">
        <f>VLOOKUP(Belling[[#This Row],[patient_id]],Patient[#All],12,FALSE)</f>
        <v>2021</v>
      </c>
    </row>
    <row r="108" spans="1:16" x14ac:dyDescent="0.25">
      <c r="A108" t="s">
        <v>755</v>
      </c>
      <c r="B108" t="s">
        <v>471</v>
      </c>
      <c r="C108" t="s">
        <v>226</v>
      </c>
      <c r="D108" t="str">
        <f>VLOOKUP(C:C,Treatment[#All],2,0)</f>
        <v>A107</v>
      </c>
      <c r="E108" t="str">
        <f>VLOOKUP(D:D,Appointment[#All],3,0)</f>
        <v>D007</v>
      </c>
      <c r="F108" t="str">
        <f>VLOOKUP(Belling[[#This Row],[Docter_id]],Doctor[#All],2,FALSE)</f>
        <v>Robert</v>
      </c>
      <c r="G108" s="1">
        <f>VLOOKUP(Belling[[#This Row],[Appointment ID]],Appointment[#All],5,FALSE)</f>
        <v>45033</v>
      </c>
      <c r="H108" s="1">
        <v>45033</v>
      </c>
      <c r="I108">
        <v>3512.69</v>
      </c>
      <c r="J108" t="s">
        <v>652</v>
      </c>
      <c r="K108" t="s">
        <v>645</v>
      </c>
      <c r="L108" t="str">
        <f>VLOOKUP(Belling[[#This Row],[patient_id]],Patient[#All],9,FALSE)</f>
        <v>PulseSecure</v>
      </c>
      <c r="M108" t="str">
        <f t="shared" si="5"/>
        <v>Check Required</v>
      </c>
      <c r="N108" t="str">
        <f>VLOOKUP(E:E,Doctor[#All],4,0)</f>
        <v>Oncology</v>
      </c>
      <c r="O108">
        <f t="shared" si="4"/>
        <v>0</v>
      </c>
      <c r="P108" s="15">
        <f>VLOOKUP(Belling[[#This Row],[patient_id]],Patient[#All],12,FALSE)</f>
        <v>2022</v>
      </c>
    </row>
    <row r="109" spans="1:16" x14ac:dyDescent="0.25">
      <c r="A109" t="s">
        <v>756</v>
      </c>
      <c r="B109" t="s">
        <v>521</v>
      </c>
      <c r="C109" t="s">
        <v>228</v>
      </c>
      <c r="D109" t="str">
        <f>VLOOKUP(C:C,Treatment[#All],2,0)</f>
        <v>A108</v>
      </c>
      <c r="E109" t="str">
        <f>VLOOKUP(D:D,Appointment[#All],3,0)</f>
        <v>D005</v>
      </c>
      <c r="F109" t="str">
        <f>VLOOKUP(Belling[[#This Row],[Docter_id]],Doctor[#All],2,FALSE)</f>
        <v>Sarah</v>
      </c>
      <c r="G109" s="1">
        <f>VLOOKUP(Belling[[#This Row],[Appointment ID]],Appointment[#All],5,FALSE)</f>
        <v>45037</v>
      </c>
      <c r="H109" s="1">
        <v>45037</v>
      </c>
      <c r="I109">
        <v>4973.63</v>
      </c>
      <c r="J109" t="s">
        <v>655</v>
      </c>
      <c r="K109" t="s">
        <v>647</v>
      </c>
      <c r="L109" t="str">
        <f>VLOOKUP(Belling[[#This Row],[patient_id]],Patient[#All],9,FALSE)</f>
        <v>WellnessCorp</v>
      </c>
      <c r="M109" t="str">
        <f t="shared" si="5"/>
        <v>Clear</v>
      </c>
      <c r="N109" t="str">
        <f>VLOOKUP(E:E,Doctor[#All],4,0)</f>
        <v>Dermatology</v>
      </c>
      <c r="O109">
        <f t="shared" si="4"/>
        <v>0</v>
      </c>
      <c r="P109" s="15">
        <f>VLOOKUP(Belling[[#This Row],[patient_id]],Patient[#All],12,FALSE)</f>
        <v>2021</v>
      </c>
    </row>
    <row r="110" spans="1:16" x14ac:dyDescent="0.25">
      <c r="A110" t="s">
        <v>757</v>
      </c>
      <c r="B110" t="s">
        <v>553</v>
      </c>
      <c r="C110" t="s">
        <v>230</v>
      </c>
      <c r="D110" t="str">
        <f>VLOOKUP(C:C,Treatment[#All],2,0)</f>
        <v>A109</v>
      </c>
      <c r="E110" t="str">
        <f>VLOOKUP(D:D,Appointment[#All],3,0)</f>
        <v>D005</v>
      </c>
      <c r="F110" t="str">
        <f>VLOOKUP(Belling[[#This Row],[Docter_id]],Doctor[#All],2,FALSE)</f>
        <v>Sarah</v>
      </c>
      <c r="G110" s="1">
        <f>VLOOKUP(Belling[[#This Row],[Appointment ID]],Appointment[#All],5,FALSE)</f>
        <v>45136</v>
      </c>
      <c r="H110" s="1">
        <v>45136</v>
      </c>
      <c r="I110">
        <v>3478.28</v>
      </c>
      <c r="J110" t="s">
        <v>655</v>
      </c>
      <c r="K110" t="s">
        <v>645</v>
      </c>
      <c r="L110" t="str">
        <f>VLOOKUP(Belling[[#This Row],[patient_id]],Patient[#All],9,FALSE)</f>
        <v>MedCare Plus</v>
      </c>
      <c r="M110" t="str">
        <f t="shared" si="5"/>
        <v>Check Required</v>
      </c>
      <c r="N110" t="str">
        <f>VLOOKUP(E:E,Doctor[#All],4,0)</f>
        <v>Dermatology</v>
      </c>
      <c r="O110">
        <f t="shared" si="4"/>
        <v>0</v>
      </c>
      <c r="P110" s="15">
        <f>VLOOKUP(Belling[[#This Row],[patient_id]],Patient[#All],12,FALSE)</f>
        <v>2023</v>
      </c>
    </row>
    <row r="111" spans="1:16" x14ac:dyDescent="0.25">
      <c r="A111" t="s">
        <v>758</v>
      </c>
      <c r="B111" t="s">
        <v>589</v>
      </c>
      <c r="C111" t="s">
        <v>232</v>
      </c>
      <c r="D111" t="str">
        <f>VLOOKUP(C:C,Treatment[#All],2,0)</f>
        <v>A110</v>
      </c>
      <c r="E111" t="str">
        <f>VLOOKUP(D:D,Appointment[#All],3,0)</f>
        <v>D005</v>
      </c>
      <c r="F111" t="str">
        <f>VLOOKUP(Belling[[#This Row],[Docter_id]],Doctor[#All],2,FALSE)</f>
        <v>Sarah</v>
      </c>
      <c r="G111" s="1">
        <f>VLOOKUP(Belling[[#This Row],[Appointment ID]],Appointment[#All],5,FALSE)</f>
        <v>45126</v>
      </c>
      <c r="H111" s="1">
        <v>45126</v>
      </c>
      <c r="I111">
        <v>3010.03</v>
      </c>
      <c r="J111" t="s">
        <v>655</v>
      </c>
      <c r="K111" t="s">
        <v>650</v>
      </c>
      <c r="L111" t="str">
        <f>VLOOKUP(Belling[[#This Row],[patient_id]],Patient[#All],9,FALSE)</f>
        <v>MedCare Plus</v>
      </c>
      <c r="M111" t="str">
        <f t="shared" si="5"/>
        <v>Check Required</v>
      </c>
      <c r="N111" t="str">
        <f>VLOOKUP(E:E,Doctor[#All],4,0)</f>
        <v>Dermatology</v>
      </c>
      <c r="O111">
        <f t="shared" si="4"/>
        <v>0</v>
      </c>
      <c r="P111" s="15">
        <f>VLOOKUP(Belling[[#This Row],[patient_id]],Patient[#All],12,FALSE)</f>
        <v>2023</v>
      </c>
    </row>
    <row r="112" spans="1:16" x14ac:dyDescent="0.25">
      <c r="A112" t="s">
        <v>759</v>
      </c>
      <c r="B112" t="s">
        <v>553</v>
      </c>
      <c r="C112" t="s">
        <v>234</v>
      </c>
      <c r="D112" t="str">
        <f>VLOOKUP(C:C,Treatment[#All],2,0)</f>
        <v>A111</v>
      </c>
      <c r="E112" t="str">
        <f>VLOOKUP(D:D,Appointment[#All],3,0)</f>
        <v>D010</v>
      </c>
      <c r="F112" t="str">
        <f>VLOOKUP(Belling[[#This Row],[Docter_id]],Doctor[#All],2,FALSE)</f>
        <v>Linda</v>
      </c>
      <c r="G112" s="1">
        <f>VLOOKUP(Belling[[#This Row],[Appointment ID]],Appointment[#All],5,FALSE)</f>
        <v>45068</v>
      </c>
      <c r="H112" s="1">
        <v>45068</v>
      </c>
      <c r="I112">
        <v>3787.93</v>
      </c>
      <c r="J112" t="s">
        <v>652</v>
      </c>
      <c r="K112" t="s">
        <v>647</v>
      </c>
      <c r="L112" t="str">
        <f>VLOOKUP(Belling[[#This Row],[patient_id]],Patient[#All],9,FALSE)</f>
        <v>MedCare Plus</v>
      </c>
      <c r="M112" t="str">
        <f t="shared" si="5"/>
        <v>Clear</v>
      </c>
      <c r="N112" t="str">
        <f>VLOOKUP(E:E,Doctor[#All],4,0)</f>
        <v>Oncology</v>
      </c>
      <c r="O112">
        <f t="shared" si="4"/>
        <v>0</v>
      </c>
      <c r="P112" s="15">
        <f>VLOOKUP(Belling[[#This Row],[patient_id]],Patient[#All],12,FALSE)</f>
        <v>2023</v>
      </c>
    </row>
    <row r="113" spans="1:16" x14ac:dyDescent="0.25">
      <c r="A113" t="s">
        <v>760</v>
      </c>
      <c r="B113" t="s">
        <v>586</v>
      </c>
      <c r="C113" t="s">
        <v>236</v>
      </c>
      <c r="D113" t="str">
        <f>VLOOKUP(C:C,Treatment[#All],2,0)</f>
        <v>A112</v>
      </c>
      <c r="E113" t="str">
        <f>VLOOKUP(D:D,Appointment[#All],3,0)</f>
        <v>D010</v>
      </c>
      <c r="F113" t="str">
        <f>VLOOKUP(Belling[[#This Row],[Docter_id]],Doctor[#All],2,FALSE)</f>
        <v>Linda</v>
      </c>
      <c r="G113" s="1">
        <f>VLOOKUP(Belling[[#This Row],[Appointment ID]],Appointment[#All],5,FALSE)</f>
        <v>44937</v>
      </c>
      <c r="H113" s="1">
        <v>45231</v>
      </c>
      <c r="I113">
        <v>2593.4299999999998</v>
      </c>
      <c r="J113" t="s">
        <v>644</v>
      </c>
      <c r="K113" t="s">
        <v>645</v>
      </c>
      <c r="L113" t="str">
        <f>VLOOKUP(Belling[[#This Row],[patient_id]],Patient[#All],9,FALSE)</f>
        <v>PulseSecure</v>
      </c>
      <c r="M113" t="str">
        <f t="shared" si="5"/>
        <v>Check Required</v>
      </c>
      <c r="N113" t="str">
        <f>VLOOKUP(E:E,Doctor[#All],4,0)</f>
        <v>Oncology</v>
      </c>
      <c r="O113">
        <f t="shared" si="4"/>
        <v>294</v>
      </c>
      <c r="P113" s="15">
        <f>VLOOKUP(Belling[[#This Row],[patient_id]],Patient[#All],12,FALSE)</f>
        <v>2023</v>
      </c>
    </row>
    <row r="114" spans="1:16" x14ac:dyDescent="0.25">
      <c r="A114" t="s">
        <v>761</v>
      </c>
      <c r="B114" t="s">
        <v>555</v>
      </c>
      <c r="C114" t="s">
        <v>238</v>
      </c>
      <c r="D114" t="str">
        <f>VLOOKUP(C:C,Treatment[#All],2,0)</f>
        <v>A113</v>
      </c>
      <c r="E114" t="str">
        <f>VLOOKUP(D:D,Appointment[#All],3,0)</f>
        <v>D003</v>
      </c>
      <c r="F114" t="str">
        <f>VLOOKUP(Belling[[#This Row],[Docter_id]],Doctor[#All],2,FALSE)</f>
        <v>Jane</v>
      </c>
      <c r="G114" s="1">
        <f>VLOOKUP(Belling[[#This Row],[Appointment ID]],Appointment[#All],5,FALSE)</f>
        <v>45254</v>
      </c>
      <c r="H114" s="1">
        <v>45254</v>
      </c>
      <c r="I114">
        <v>770.64</v>
      </c>
      <c r="J114" t="s">
        <v>644</v>
      </c>
      <c r="K114" t="s">
        <v>645</v>
      </c>
      <c r="L114" t="str">
        <f>VLOOKUP(Belling[[#This Row],[patient_id]],Patient[#All],9,FALSE)</f>
        <v>MedCare Plus</v>
      </c>
      <c r="M114" t="str">
        <f t="shared" si="5"/>
        <v>Check Required</v>
      </c>
      <c r="N114" t="str">
        <f>VLOOKUP(E:E,Doctor[#All],4,0)</f>
        <v>Pediatrics</v>
      </c>
      <c r="O114">
        <f t="shared" si="4"/>
        <v>0</v>
      </c>
      <c r="P114" s="15">
        <f>VLOOKUP(Belling[[#This Row],[patient_id]],Patient[#All],12,FALSE)</f>
        <v>2022</v>
      </c>
    </row>
    <row r="115" spans="1:16" x14ac:dyDescent="0.25">
      <c r="A115" t="s">
        <v>762</v>
      </c>
      <c r="B115" t="s">
        <v>499</v>
      </c>
      <c r="C115" t="s">
        <v>240</v>
      </c>
      <c r="D115" t="str">
        <f>VLOOKUP(C:C,Treatment[#All],2,0)</f>
        <v>A114</v>
      </c>
      <c r="E115" t="str">
        <f>VLOOKUP(D:D,Appointment[#All],3,0)</f>
        <v>D001</v>
      </c>
      <c r="F115" t="str">
        <f>VLOOKUP(Belling[[#This Row],[Docter_id]],Doctor[#All],2,FALSE)</f>
        <v>David</v>
      </c>
      <c r="G115" s="1">
        <f>VLOOKUP(Belling[[#This Row],[Appointment ID]],Appointment[#All],5,FALSE)</f>
        <v>45146</v>
      </c>
      <c r="H115" s="1">
        <v>45146</v>
      </c>
      <c r="I115">
        <v>3030.34</v>
      </c>
      <c r="J115" t="s">
        <v>655</v>
      </c>
      <c r="K115" t="s">
        <v>645</v>
      </c>
      <c r="L115" t="str">
        <f>VLOOKUP(Belling[[#This Row],[patient_id]],Patient[#All],9,FALSE)</f>
        <v>PulseSecure</v>
      </c>
      <c r="M115" t="str">
        <f t="shared" si="5"/>
        <v>Check Required</v>
      </c>
      <c r="N115" t="str">
        <f>VLOOKUP(E:E,Doctor[#All],4,0)</f>
        <v>Dermatology</v>
      </c>
      <c r="O115">
        <f t="shared" si="4"/>
        <v>0</v>
      </c>
      <c r="P115" s="15">
        <f>VLOOKUP(Belling[[#This Row],[patient_id]],Patient[#All],12,FALSE)</f>
        <v>2022</v>
      </c>
    </row>
    <row r="116" spans="1:16" x14ac:dyDescent="0.25">
      <c r="A116" t="s">
        <v>763</v>
      </c>
      <c r="B116" t="s">
        <v>589</v>
      </c>
      <c r="C116" t="s">
        <v>242</v>
      </c>
      <c r="D116" t="str">
        <f>VLOOKUP(C:C,Treatment[#All],2,0)</f>
        <v>A115</v>
      </c>
      <c r="E116" t="str">
        <f>VLOOKUP(D:D,Appointment[#All],3,0)</f>
        <v>D005</v>
      </c>
      <c r="F116" t="str">
        <f>VLOOKUP(Belling[[#This Row],[Docter_id]],Doctor[#All],2,FALSE)</f>
        <v>Sarah</v>
      </c>
      <c r="G116" s="1">
        <f>VLOOKUP(Belling[[#This Row],[Appointment ID]],Appointment[#All],5,FALSE)</f>
        <v>45224</v>
      </c>
      <c r="H116" s="1">
        <v>45224</v>
      </c>
      <c r="I116">
        <v>4809.3100000000004</v>
      </c>
      <c r="J116" t="s">
        <v>644</v>
      </c>
      <c r="K116" t="s">
        <v>647</v>
      </c>
      <c r="L116" t="str">
        <f>VLOOKUP(Belling[[#This Row],[patient_id]],Patient[#All],9,FALSE)</f>
        <v>MedCare Plus</v>
      </c>
      <c r="M116" t="str">
        <f t="shared" si="5"/>
        <v>Clear</v>
      </c>
      <c r="N116" t="str">
        <f>VLOOKUP(E:E,Doctor[#All],4,0)</f>
        <v>Dermatology</v>
      </c>
      <c r="O116">
        <f t="shared" si="4"/>
        <v>0</v>
      </c>
      <c r="P116" s="15">
        <f>VLOOKUP(Belling[[#This Row],[patient_id]],Patient[#All],12,FALSE)</f>
        <v>2023</v>
      </c>
    </row>
    <row r="117" spans="1:16" x14ac:dyDescent="0.25">
      <c r="A117" t="s">
        <v>764</v>
      </c>
      <c r="B117" t="s">
        <v>562</v>
      </c>
      <c r="C117" t="s">
        <v>244</v>
      </c>
      <c r="D117" t="str">
        <f>VLOOKUP(C:C,Treatment[#All],2,0)</f>
        <v>A116</v>
      </c>
      <c r="E117" t="str">
        <f>VLOOKUP(D:D,Appointment[#All],3,0)</f>
        <v>D009</v>
      </c>
      <c r="F117" t="str">
        <f>VLOOKUP(Belling[[#This Row],[Docter_id]],Doctor[#All],2,FALSE)</f>
        <v>Sarah</v>
      </c>
      <c r="G117" s="1">
        <f>VLOOKUP(Belling[[#This Row],[Appointment ID]],Appointment[#All],5,FALSE)</f>
        <v>45114</v>
      </c>
      <c r="H117" s="1">
        <v>45114</v>
      </c>
      <c r="I117">
        <v>1288.8599999999999</v>
      </c>
      <c r="J117" t="s">
        <v>655</v>
      </c>
      <c r="K117" t="s">
        <v>647</v>
      </c>
      <c r="L117" t="str">
        <f>VLOOKUP(Belling[[#This Row],[patient_id]],Patient[#All],9,FALSE)</f>
        <v>PulseSecure</v>
      </c>
      <c r="M117" t="str">
        <f t="shared" si="5"/>
        <v>Clear</v>
      </c>
      <c r="N117" t="str">
        <f>VLOOKUP(E:E,Doctor[#All],4,0)</f>
        <v>Pediatrics</v>
      </c>
      <c r="O117">
        <f t="shared" si="4"/>
        <v>0</v>
      </c>
      <c r="P117" s="15">
        <f>VLOOKUP(Belling[[#This Row],[patient_id]],Patient[#All],12,FALSE)</f>
        <v>2021</v>
      </c>
    </row>
    <row r="118" spans="1:16" x14ac:dyDescent="0.25">
      <c r="A118" t="s">
        <v>765</v>
      </c>
      <c r="B118" t="s">
        <v>546</v>
      </c>
      <c r="C118" t="s">
        <v>246</v>
      </c>
      <c r="D118" t="str">
        <f>VLOOKUP(C:C,Treatment[#All],2,0)</f>
        <v>A117</v>
      </c>
      <c r="E118" t="str">
        <f>VLOOKUP(D:D,Appointment[#All],3,0)</f>
        <v>D001</v>
      </c>
      <c r="F118" t="str">
        <f>VLOOKUP(Belling[[#This Row],[Docter_id]],Doctor[#All],2,FALSE)</f>
        <v>David</v>
      </c>
      <c r="G118" s="1">
        <f>VLOOKUP(Belling[[#This Row],[Appointment ID]],Appointment[#All],5,FALSE)</f>
        <v>45097</v>
      </c>
      <c r="H118" s="1">
        <v>45097</v>
      </c>
      <c r="I118">
        <v>3605.02</v>
      </c>
      <c r="J118" t="s">
        <v>652</v>
      </c>
      <c r="K118" t="s">
        <v>647</v>
      </c>
      <c r="L118" t="str">
        <f>VLOOKUP(Belling[[#This Row],[patient_id]],Patient[#All],9,FALSE)</f>
        <v>MedCare Plus</v>
      </c>
      <c r="M118" t="str">
        <f t="shared" si="5"/>
        <v>Clear</v>
      </c>
      <c r="N118" t="str">
        <f>VLOOKUP(E:E,Doctor[#All],4,0)</f>
        <v>Dermatology</v>
      </c>
      <c r="O118">
        <f t="shared" si="4"/>
        <v>0</v>
      </c>
      <c r="P118" s="15">
        <f>VLOOKUP(Belling[[#This Row],[patient_id]],Patient[#All],12,FALSE)</f>
        <v>2021</v>
      </c>
    </row>
    <row r="119" spans="1:16" x14ac:dyDescent="0.25">
      <c r="A119" t="s">
        <v>766</v>
      </c>
      <c r="B119" t="s">
        <v>521</v>
      </c>
      <c r="C119" t="s">
        <v>248</v>
      </c>
      <c r="D119" t="str">
        <f>VLOOKUP(C:C,Treatment[#All],2,0)</f>
        <v>A118</v>
      </c>
      <c r="E119" t="str">
        <f>VLOOKUP(D:D,Appointment[#All],3,0)</f>
        <v>D003</v>
      </c>
      <c r="F119" t="str">
        <f>VLOOKUP(Belling[[#This Row],[Docter_id]],Doctor[#All],2,FALSE)</f>
        <v>Jane</v>
      </c>
      <c r="G119" s="1">
        <f>VLOOKUP(Belling[[#This Row],[Appointment ID]],Appointment[#All],5,FALSE)</f>
        <v>45147</v>
      </c>
      <c r="H119" s="1">
        <v>45177</v>
      </c>
      <c r="I119">
        <v>1404.2</v>
      </c>
      <c r="J119" t="s">
        <v>644</v>
      </c>
      <c r="K119" t="s">
        <v>650</v>
      </c>
      <c r="L119" t="str">
        <f>VLOOKUP(Belling[[#This Row],[patient_id]],Patient[#All],9,FALSE)</f>
        <v>WellnessCorp</v>
      </c>
      <c r="M119" t="str">
        <f t="shared" si="5"/>
        <v>Check Required</v>
      </c>
      <c r="N119" t="str">
        <f>VLOOKUP(E:E,Doctor[#All],4,0)</f>
        <v>Pediatrics</v>
      </c>
      <c r="O119">
        <f t="shared" si="4"/>
        <v>30</v>
      </c>
      <c r="P119" s="15">
        <f>VLOOKUP(Belling[[#This Row],[patient_id]],Patient[#All],12,FALSE)</f>
        <v>2021</v>
      </c>
    </row>
    <row r="120" spans="1:16" x14ac:dyDescent="0.25">
      <c r="A120" t="s">
        <v>767</v>
      </c>
      <c r="B120" t="s">
        <v>518</v>
      </c>
      <c r="C120" t="s">
        <v>250</v>
      </c>
      <c r="D120" t="str">
        <f>VLOOKUP(C:C,Treatment[#All],2,0)</f>
        <v>A119</v>
      </c>
      <c r="E120" t="str">
        <f>VLOOKUP(D:D,Appointment[#All],3,0)</f>
        <v>D004</v>
      </c>
      <c r="F120" t="str">
        <f>VLOOKUP(Belling[[#This Row],[Docter_id]],Doctor[#All],2,FALSE)</f>
        <v>David</v>
      </c>
      <c r="G120" s="1">
        <f>VLOOKUP(Belling[[#This Row],[Appointment ID]],Appointment[#All],5,FALSE)</f>
        <v>45278</v>
      </c>
      <c r="H120" s="1">
        <v>45278</v>
      </c>
      <c r="I120">
        <v>2911.22</v>
      </c>
      <c r="J120" t="s">
        <v>652</v>
      </c>
      <c r="K120" t="s">
        <v>650</v>
      </c>
      <c r="L120" t="str">
        <f>VLOOKUP(Belling[[#This Row],[patient_id]],Patient[#All],9,FALSE)</f>
        <v>WellnessCorp</v>
      </c>
      <c r="M120" t="str">
        <f t="shared" si="5"/>
        <v>Check Required</v>
      </c>
      <c r="N120" t="str">
        <f>VLOOKUP(E:E,Doctor[#All],4,0)</f>
        <v>Pediatrics</v>
      </c>
      <c r="O120">
        <f t="shared" si="4"/>
        <v>0</v>
      </c>
      <c r="P120" s="15">
        <f>VLOOKUP(Belling[[#This Row],[patient_id]],Patient[#All],12,FALSE)</f>
        <v>2021</v>
      </c>
    </row>
    <row r="121" spans="1:16" x14ac:dyDescent="0.25">
      <c r="A121" t="s">
        <v>768</v>
      </c>
      <c r="B121" t="s">
        <v>546</v>
      </c>
      <c r="C121" t="s">
        <v>252</v>
      </c>
      <c r="D121" t="str">
        <f>VLOOKUP(C:C,Treatment[#All],2,0)</f>
        <v>A120</v>
      </c>
      <c r="E121" t="str">
        <f>VLOOKUP(D:D,Appointment[#All],3,0)</f>
        <v>D001</v>
      </c>
      <c r="F121" t="str">
        <f>VLOOKUP(Belling[[#This Row],[Docter_id]],Doctor[#All],2,FALSE)</f>
        <v>David</v>
      </c>
      <c r="G121" s="1">
        <f>VLOOKUP(Belling[[#This Row],[Appointment ID]],Appointment[#All],5,FALSE)</f>
        <v>45268</v>
      </c>
      <c r="H121" s="1">
        <v>45150</v>
      </c>
      <c r="I121">
        <v>935.04</v>
      </c>
      <c r="J121" t="s">
        <v>644</v>
      </c>
      <c r="K121" t="s">
        <v>647</v>
      </c>
      <c r="L121" t="str">
        <f>VLOOKUP(Belling[[#This Row],[patient_id]],Patient[#All],9,FALSE)</f>
        <v>MedCare Plus</v>
      </c>
      <c r="M121" t="str">
        <f t="shared" si="5"/>
        <v>Clear</v>
      </c>
      <c r="N121" t="str">
        <f>VLOOKUP(E:E,Doctor[#All],4,0)</f>
        <v>Dermatology</v>
      </c>
      <c r="O121">
        <f t="shared" si="4"/>
        <v>-118</v>
      </c>
      <c r="P121" s="15">
        <f>VLOOKUP(Belling[[#This Row],[patient_id]],Patient[#All],12,FALSE)</f>
        <v>2021</v>
      </c>
    </row>
    <row r="122" spans="1:16" x14ac:dyDescent="0.25">
      <c r="A122" t="s">
        <v>769</v>
      </c>
      <c r="B122" t="s">
        <v>557</v>
      </c>
      <c r="C122" t="s">
        <v>254</v>
      </c>
      <c r="D122" t="str">
        <f>VLOOKUP(C:C,Treatment[#All],2,0)</f>
        <v>A121</v>
      </c>
      <c r="E122" t="str">
        <f>VLOOKUP(D:D,Appointment[#All],3,0)</f>
        <v>D001</v>
      </c>
      <c r="F122" t="str">
        <f>VLOOKUP(Belling[[#This Row],[Docter_id]],Doctor[#All],2,FALSE)</f>
        <v>David</v>
      </c>
      <c r="G122" s="1">
        <f>VLOOKUP(Belling[[#This Row],[Appointment ID]],Appointment[#All],5,FALSE)</f>
        <v>45023</v>
      </c>
      <c r="H122" s="1">
        <v>45111</v>
      </c>
      <c r="I122">
        <v>2526.67</v>
      </c>
      <c r="J122" t="s">
        <v>652</v>
      </c>
      <c r="K122" t="s">
        <v>645</v>
      </c>
      <c r="L122" t="str">
        <f>VLOOKUP(Belling[[#This Row],[patient_id]],Patient[#All],9,FALSE)</f>
        <v>HealthIndia</v>
      </c>
      <c r="M122" t="str">
        <f t="shared" si="5"/>
        <v>Check Required</v>
      </c>
      <c r="N122" t="str">
        <f>VLOOKUP(E:E,Doctor[#All],4,0)</f>
        <v>Dermatology</v>
      </c>
      <c r="O122">
        <f t="shared" si="4"/>
        <v>88</v>
      </c>
      <c r="P122" s="15">
        <f>VLOOKUP(Belling[[#This Row],[patient_id]],Patient[#All],12,FALSE)</f>
        <v>2021</v>
      </c>
    </row>
    <row r="123" spans="1:16" x14ac:dyDescent="0.25">
      <c r="A123" t="s">
        <v>770</v>
      </c>
      <c r="B123" t="s">
        <v>481</v>
      </c>
      <c r="C123" t="s">
        <v>256</v>
      </c>
      <c r="D123" t="str">
        <f>VLOOKUP(C:C,Treatment[#All],2,0)</f>
        <v>A122</v>
      </c>
      <c r="E123" t="str">
        <f>VLOOKUP(D:D,Appointment[#All],3,0)</f>
        <v>D008</v>
      </c>
      <c r="F123" t="str">
        <f>VLOOKUP(Belling[[#This Row],[Docter_id]],Doctor[#All],2,FALSE)</f>
        <v>Linda</v>
      </c>
      <c r="G123" s="1">
        <f>VLOOKUP(Belling[[#This Row],[Appointment ID]],Appointment[#All],5,FALSE)</f>
        <v>45118</v>
      </c>
      <c r="H123" s="1">
        <v>45237</v>
      </c>
      <c r="I123">
        <v>3902.73</v>
      </c>
      <c r="J123" t="s">
        <v>644</v>
      </c>
      <c r="K123" t="s">
        <v>650</v>
      </c>
      <c r="L123" t="str">
        <f>VLOOKUP(Belling[[#This Row],[patient_id]],Patient[#All],9,FALSE)</f>
        <v>MedCare Plus</v>
      </c>
      <c r="M123" t="str">
        <f t="shared" si="5"/>
        <v>Check Required</v>
      </c>
      <c r="N123" t="str">
        <f>VLOOKUP(E:E,Doctor[#All],4,0)</f>
        <v>Dermatology</v>
      </c>
      <c r="O123">
        <f t="shared" si="4"/>
        <v>119</v>
      </c>
      <c r="P123" s="15">
        <f>VLOOKUP(Belling[[#This Row],[patient_id]],Patient[#All],12,FALSE)</f>
        <v>2023</v>
      </c>
    </row>
    <row r="124" spans="1:16" x14ac:dyDescent="0.25">
      <c r="A124" t="s">
        <v>771</v>
      </c>
      <c r="B124" t="s">
        <v>589</v>
      </c>
      <c r="C124" t="s">
        <v>258</v>
      </c>
      <c r="D124" t="str">
        <f>VLOOKUP(C:C,Treatment[#All],2,0)</f>
        <v>A123</v>
      </c>
      <c r="E124" t="str">
        <f>VLOOKUP(D:D,Appointment[#All],3,0)</f>
        <v>D002</v>
      </c>
      <c r="F124" t="str">
        <f>VLOOKUP(Belling[[#This Row],[Docter_id]],Doctor[#All],2,FALSE)</f>
        <v>Jane</v>
      </c>
      <c r="G124" s="1">
        <f>VLOOKUP(Belling[[#This Row],[Appointment ID]],Appointment[#All],5,FALSE)</f>
        <v>44985</v>
      </c>
      <c r="H124" s="1">
        <v>44985</v>
      </c>
      <c r="I124">
        <v>2064.0700000000002</v>
      </c>
      <c r="J124" t="s">
        <v>652</v>
      </c>
      <c r="K124" t="s">
        <v>647</v>
      </c>
      <c r="L124" t="str">
        <f>VLOOKUP(Belling[[#This Row],[patient_id]],Patient[#All],9,FALSE)</f>
        <v>MedCare Plus</v>
      </c>
      <c r="M124" t="str">
        <f t="shared" si="5"/>
        <v>Clear</v>
      </c>
      <c r="N124" t="str">
        <f>VLOOKUP(E:E,Doctor[#All],4,0)</f>
        <v>Pediatrics</v>
      </c>
      <c r="O124">
        <f t="shared" si="4"/>
        <v>0</v>
      </c>
      <c r="P124" s="15">
        <f>VLOOKUP(Belling[[#This Row],[patient_id]],Patient[#All],12,FALSE)</f>
        <v>2023</v>
      </c>
    </row>
    <row r="125" spans="1:16" x14ac:dyDescent="0.25">
      <c r="A125" t="s">
        <v>772</v>
      </c>
      <c r="B125" t="s">
        <v>483</v>
      </c>
      <c r="C125" t="s">
        <v>260</v>
      </c>
      <c r="D125" t="str">
        <f>VLOOKUP(C:C,Treatment[#All],2,0)</f>
        <v>A124</v>
      </c>
      <c r="E125" t="str">
        <f>VLOOKUP(D:D,Appointment[#All],3,0)</f>
        <v>D008</v>
      </c>
      <c r="F125" t="str">
        <f>VLOOKUP(Belling[[#This Row],[Docter_id]],Doctor[#All],2,FALSE)</f>
        <v>Linda</v>
      </c>
      <c r="G125" s="1">
        <f>VLOOKUP(Belling[[#This Row],[Appointment ID]],Appointment[#All],5,FALSE)</f>
        <v>45001</v>
      </c>
      <c r="H125" s="1">
        <v>45001</v>
      </c>
      <c r="I125">
        <v>3492.1</v>
      </c>
      <c r="J125" t="s">
        <v>652</v>
      </c>
      <c r="K125" t="s">
        <v>645</v>
      </c>
      <c r="L125" t="str">
        <f>VLOOKUP(Belling[[#This Row],[patient_id]],Patient[#All],9,FALSE)</f>
        <v>WellnessCorp</v>
      </c>
      <c r="M125" t="str">
        <f t="shared" si="5"/>
        <v>Check Required</v>
      </c>
      <c r="N125" t="str">
        <f>VLOOKUP(E:E,Doctor[#All],4,0)</f>
        <v>Dermatology</v>
      </c>
      <c r="O125">
        <f t="shared" si="4"/>
        <v>0</v>
      </c>
      <c r="P125" s="15">
        <f>VLOOKUP(Belling[[#This Row],[patient_id]],Patient[#All],12,FALSE)</f>
        <v>2021</v>
      </c>
    </row>
    <row r="126" spans="1:16" x14ac:dyDescent="0.25">
      <c r="A126" t="s">
        <v>773</v>
      </c>
      <c r="B126" t="s">
        <v>518</v>
      </c>
      <c r="C126" t="s">
        <v>262</v>
      </c>
      <c r="D126" t="str">
        <f>VLOOKUP(C:C,Treatment[#All],2,0)</f>
        <v>A125</v>
      </c>
      <c r="E126" t="str">
        <f>VLOOKUP(D:D,Appointment[#All],3,0)</f>
        <v>D007</v>
      </c>
      <c r="F126" t="str">
        <f>VLOOKUP(Belling[[#This Row],[Docter_id]],Doctor[#All],2,FALSE)</f>
        <v>Robert</v>
      </c>
      <c r="G126" s="1">
        <f>VLOOKUP(Belling[[#This Row],[Appointment ID]],Appointment[#All],5,FALSE)</f>
        <v>44975</v>
      </c>
      <c r="H126" s="1">
        <v>44975</v>
      </c>
      <c r="I126">
        <v>4079.52</v>
      </c>
      <c r="J126" t="s">
        <v>644</v>
      </c>
      <c r="K126" t="s">
        <v>650</v>
      </c>
      <c r="L126" t="str">
        <f>VLOOKUP(Belling[[#This Row],[patient_id]],Patient[#All],9,FALSE)</f>
        <v>WellnessCorp</v>
      </c>
      <c r="M126" t="str">
        <f t="shared" si="5"/>
        <v>Check Required</v>
      </c>
      <c r="N126" t="str">
        <f>VLOOKUP(E:E,Doctor[#All],4,0)</f>
        <v>Oncology</v>
      </c>
      <c r="O126">
        <f t="shared" si="4"/>
        <v>0</v>
      </c>
      <c r="P126" s="15">
        <f>VLOOKUP(Belling[[#This Row],[patient_id]],Patient[#All],12,FALSE)</f>
        <v>2021</v>
      </c>
    </row>
    <row r="127" spans="1:16" x14ac:dyDescent="0.25">
      <c r="A127" t="s">
        <v>774</v>
      </c>
      <c r="B127" t="s">
        <v>524</v>
      </c>
      <c r="C127" t="s">
        <v>264</v>
      </c>
      <c r="D127" t="str">
        <f>VLOOKUP(C:C,Treatment[#All],2,0)</f>
        <v>A126</v>
      </c>
      <c r="E127" t="str">
        <f>VLOOKUP(D:D,Appointment[#All],3,0)</f>
        <v>D010</v>
      </c>
      <c r="F127" t="str">
        <f>VLOOKUP(Belling[[#This Row],[Docter_id]],Doctor[#All],2,FALSE)</f>
        <v>Linda</v>
      </c>
      <c r="G127" s="1">
        <f>VLOOKUP(Belling[[#This Row],[Appointment ID]],Appointment[#All],5,FALSE)</f>
        <v>45232</v>
      </c>
      <c r="H127" s="1">
        <v>44968</v>
      </c>
      <c r="I127">
        <v>4672.3</v>
      </c>
      <c r="J127" t="s">
        <v>652</v>
      </c>
      <c r="K127" t="s">
        <v>645</v>
      </c>
      <c r="L127" t="str">
        <f>VLOOKUP(Belling[[#This Row],[patient_id]],Patient[#All],9,FALSE)</f>
        <v>HealthIndia</v>
      </c>
      <c r="M127" t="str">
        <f t="shared" si="5"/>
        <v>Check Required</v>
      </c>
      <c r="N127" t="str">
        <f>VLOOKUP(E:E,Doctor[#All],4,0)</f>
        <v>Oncology</v>
      </c>
      <c r="O127">
        <f t="shared" si="4"/>
        <v>-264</v>
      </c>
      <c r="P127" s="15">
        <f>VLOOKUP(Belling[[#This Row],[patient_id]],Patient[#All],12,FALSE)</f>
        <v>2021</v>
      </c>
    </row>
    <row r="128" spans="1:16" x14ac:dyDescent="0.25">
      <c r="A128" t="s">
        <v>775</v>
      </c>
      <c r="B128" t="s">
        <v>553</v>
      </c>
      <c r="C128" t="s">
        <v>266</v>
      </c>
      <c r="D128" t="str">
        <f>VLOOKUP(C:C,Treatment[#All],2,0)</f>
        <v>A127</v>
      </c>
      <c r="E128" t="str">
        <f>VLOOKUP(D:D,Appointment[#All],3,0)</f>
        <v>D010</v>
      </c>
      <c r="F128" t="str">
        <f>VLOOKUP(Belling[[#This Row],[Docter_id]],Doctor[#All],2,FALSE)</f>
        <v>Linda</v>
      </c>
      <c r="G128" s="1">
        <f>VLOOKUP(Belling[[#This Row],[Appointment ID]],Appointment[#All],5,FALSE)</f>
        <v>45243</v>
      </c>
      <c r="H128" s="1">
        <v>45243</v>
      </c>
      <c r="I128">
        <v>1555.89</v>
      </c>
      <c r="J128" t="s">
        <v>652</v>
      </c>
      <c r="K128" t="s">
        <v>645</v>
      </c>
      <c r="L128" t="str">
        <f>VLOOKUP(Belling[[#This Row],[patient_id]],Patient[#All],9,FALSE)</f>
        <v>MedCare Plus</v>
      </c>
      <c r="M128" t="str">
        <f t="shared" si="5"/>
        <v>Check Required</v>
      </c>
      <c r="N128" t="str">
        <f>VLOOKUP(E:E,Doctor[#All],4,0)</f>
        <v>Oncology</v>
      </c>
      <c r="O128">
        <f t="shared" si="4"/>
        <v>0</v>
      </c>
      <c r="P128" s="15">
        <f>VLOOKUP(Belling[[#This Row],[patient_id]],Patient[#All],12,FALSE)</f>
        <v>2023</v>
      </c>
    </row>
    <row r="129" spans="1:16" x14ac:dyDescent="0.25">
      <c r="A129" t="s">
        <v>776</v>
      </c>
      <c r="B129" t="s">
        <v>568</v>
      </c>
      <c r="C129" t="s">
        <v>268</v>
      </c>
      <c r="D129" t="str">
        <f>VLOOKUP(C:C,Treatment[#All],2,0)</f>
        <v>A128</v>
      </c>
      <c r="E129" t="str">
        <f>VLOOKUP(D:D,Appointment[#All],3,0)</f>
        <v>D002</v>
      </c>
      <c r="F129" t="str">
        <f>VLOOKUP(Belling[[#This Row],[Docter_id]],Doctor[#All],2,FALSE)</f>
        <v>Jane</v>
      </c>
      <c r="G129" s="1">
        <f>VLOOKUP(Belling[[#This Row],[Appointment ID]],Appointment[#All],5,FALSE)</f>
        <v>45031</v>
      </c>
      <c r="H129" s="1">
        <v>45031</v>
      </c>
      <c r="I129">
        <v>2296.92</v>
      </c>
      <c r="J129" t="s">
        <v>652</v>
      </c>
      <c r="K129" t="s">
        <v>645</v>
      </c>
      <c r="L129" t="str">
        <f>VLOOKUP(Belling[[#This Row],[patient_id]],Patient[#All],9,FALSE)</f>
        <v>WellnessCorp</v>
      </c>
      <c r="M129" t="str">
        <f t="shared" si="5"/>
        <v>Check Required</v>
      </c>
      <c r="N129" t="str">
        <f>VLOOKUP(E:E,Doctor[#All],4,0)</f>
        <v>Pediatrics</v>
      </c>
      <c r="O129">
        <f t="shared" si="4"/>
        <v>0</v>
      </c>
      <c r="P129" s="15">
        <f>VLOOKUP(Belling[[#This Row],[patient_id]],Patient[#All],12,FALSE)</f>
        <v>2022</v>
      </c>
    </row>
    <row r="130" spans="1:16" x14ac:dyDescent="0.25">
      <c r="A130" t="s">
        <v>777</v>
      </c>
      <c r="B130" t="s">
        <v>540</v>
      </c>
      <c r="C130" t="s">
        <v>270</v>
      </c>
      <c r="D130" t="str">
        <f>VLOOKUP(C:C,Treatment[#All],2,0)</f>
        <v>A129</v>
      </c>
      <c r="E130" t="str">
        <f>VLOOKUP(D:D,Appointment[#All],3,0)</f>
        <v>D006</v>
      </c>
      <c r="F130" t="str">
        <f>VLOOKUP(Belling[[#This Row],[Docter_id]],Doctor[#All],2,FALSE)</f>
        <v>Alex</v>
      </c>
      <c r="G130" s="1">
        <f>VLOOKUP(Belling[[#This Row],[Appointment ID]],Appointment[#All],5,FALSE)</f>
        <v>45163</v>
      </c>
      <c r="H130" s="1">
        <v>45163</v>
      </c>
      <c r="I130">
        <v>1185.8699999999999</v>
      </c>
      <c r="J130" t="s">
        <v>644</v>
      </c>
      <c r="K130" t="s">
        <v>645</v>
      </c>
      <c r="L130" t="str">
        <f>VLOOKUP(Belling[[#This Row],[patient_id]],Patient[#All],9,FALSE)</f>
        <v>PulseSecure</v>
      </c>
      <c r="M130" t="str">
        <f t="shared" ref="M130:M161" si="6">IF(OR(K130="Failed", K130="Pending"), "Check Required", "Clear")</f>
        <v>Check Required</v>
      </c>
      <c r="N130" t="str">
        <f>VLOOKUP(E:E,Doctor[#All],4,0)</f>
        <v>Pediatrics</v>
      </c>
      <c r="O130">
        <f t="shared" ref="O130:O193" si="7" xml:space="preserve"> H130 - G130</f>
        <v>0</v>
      </c>
      <c r="P130" s="15">
        <f>VLOOKUP(Belling[[#This Row],[patient_id]],Patient[#All],12,FALSE)</f>
        <v>2021</v>
      </c>
    </row>
    <row r="131" spans="1:16" x14ac:dyDescent="0.25">
      <c r="A131" t="s">
        <v>778</v>
      </c>
      <c r="B131" t="s">
        <v>495</v>
      </c>
      <c r="C131" t="s">
        <v>272</v>
      </c>
      <c r="D131" t="str">
        <f>VLOOKUP(C:C,Treatment[#All],2,0)</f>
        <v>A130</v>
      </c>
      <c r="E131" t="str">
        <f>VLOOKUP(D:D,Appointment[#All],3,0)</f>
        <v>D006</v>
      </c>
      <c r="F131" t="str">
        <f>VLOOKUP(Belling[[#This Row],[Docter_id]],Doctor[#All],2,FALSE)</f>
        <v>Alex</v>
      </c>
      <c r="G131" s="1">
        <f>VLOOKUP(Belling[[#This Row],[Appointment ID]],Appointment[#All],5,FALSE)</f>
        <v>44980</v>
      </c>
      <c r="H131" s="1">
        <v>44980</v>
      </c>
      <c r="I131">
        <v>4966.18</v>
      </c>
      <c r="J131" t="s">
        <v>644</v>
      </c>
      <c r="K131" t="s">
        <v>650</v>
      </c>
      <c r="L131" t="str">
        <f>VLOOKUP(Belling[[#This Row],[patient_id]],Patient[#All],9,FALSE)</f>
        <v>WellnessCorp</v>
      </c>
      <c r="M131" t="str">
        <f t="shared" si="6"/>
        <v>Check Required</v>
      </c>
      <c r="N131" t="str">
        <f>VLOOKUP(E:E,Doctor[#All],4,0)</f>
        <v>Pediatrics</v>
      </c>
      <c r="O131">
        <f t="shared" si="7"/>
        <v>0</v>
      </c>
      <c r="P131" s="15">
        <f>VLOOKUP(Belling[[#This Row],[patient_id]],Patient[#All],12,FALSE)</f>
        <v>2022</v>
      </c>
    </row>
    <row r="132" spans="1:16" x14ac:dyDescent="0.25">
      <c r="A132" t="s">
        <v>779</v>
      </c>
      <c r="B132" t="s">
        <v>589</v>
      </c>
      <c r="C132" t="s">
        <v>274</v>
      </c>
      <c r="D132" t="str">
        <f>VLOOKUP(C:C,Treatment[#All],2,0)</f>
        <v>A131</v>
      </c>
      <c r="E132" t="str">
        <f>VLOOKUP(D:D,Appointment[#All],3,0)</f>
        <v>D003</v>
      </c>
      <c r="F132" t="str">
        <f>VLOOKUP(Belling[[#This Row],[Docter_id]],Doctor[#All],2,FALSE)</f>
        <v>Jane</v>
      </c>
      <c r="G132" s="1">
        <f>VLOOKUP(Belling[[#This Row],[Appointment ID]],Appointment[#All],5,FALSE)</f>
        <v>45057</v>
      </c>
      <c r="H132" s="1">
        <v>45235</v>
      </c>
      <c r="I132">
        <v>4671.5</v>
      </c>
      <c r="J132" t="s">
        <v>652</v>
      </c>
      <c r="K132" t="s">
        <v>650</v>
      </c>
      <c r="L132" t="str">
        <f>VLOOKUP(Belling[[#This Row],[patient_id]],Patient[#All],9,FALSE)</f>
        <v>MedCare Plus</v>
      </c>
      <c r="M132" t="str">
        <f t="shared" si="6"/>
        <v>Check Required</v>
      </c>
      <c r="N132" t="str">
        <f>VLOOKUP(E:E,Doctor[#All],4,0)</f>
        <v>Pediatrics</v>
      </c>
      <c r="O132">
        <f t="shared" si="7"/>
        <v>178</v>
      </c>
      <c r="P132" s="15">
        <f>VLOOKUP(Belling[[#This Row],[patient_id]],Patient[#All],12,FALSE)</f>
        <v>2023</v>
      </c>
    </row>
    <row r="133" spans="1:16" x14ac:dyDescent="0.25">
      <c r="A133" t="s">
        <v>780</v>
      </c>
      <c r="B133" t="s">
        <v>506</v>
      </c>
      <c r="C133" t="s">
        <v>276</v>
      </c>
      <c r="D133" t="str">
        <f>VLOOKUP(C:C,Treatment[#All],2,0)</f>
        <v>A132</v>
      </c>
      <c r="E133" t="str">
        <f>VLOOKUP(D:D,Appointment[#All],3,0)</f>
        <v>D002</v>
      </c>
      <c r="F133" t="str">
        <f>VLOOKUP(Belling[[#This Row],[Docter_id]],Doctor[#All],2,FALSE)</f>
        <v>Jane</v>
      </c>
      <c r="G133" s="1">
        <f>VLOOKUP(Belling[[#This Row],[Appointment ID]],Appointment[#All],5,FALSE)</f>
        <v>45133</v>
      </c>
      <c r="H133" s="1">
        <v>45133</v>
      </c>
      <c r="I133">
        <v>2929.81</v>
      </c>
      <c r="J133" t="s">
        <v>652</v>
      </c>
      <c r="K133" t="s">
        <v>650</v>
      </c>
      <c r="L133" t="str">
        <f>VLOOKUP(Belling[[#This Row],[patient_id]],Patient[#All],9,FALSE)</f>
        <v>MedCare Plus</v>
      </c>
      <c r="M133" t="str">
        <f t="shared" si="6"/>
        <v>Check Required</v>
      </c>
      <c r="N133" t="str">
        <f>VLOOKUP(E:E,Doctor[#All],4,0)</f>
        <v>Pediatrics</v>
      </c>
      <c r="O133">
        <f t="shared" si="7"/>
        <v>0</v>
      </c>
      <c r="P133" s="15">
        <f>VLOOKUP(Belling[[#This Row],[patient_id]],Patient[#All],12,FALSE)</f>
        <v>2022</v>
      </c>
    </row>
    <row r="134" spans="1:16" x14ac:dyDescent="0.25">
      <c r="A134" t="s">
        <v>781</v>
      </c>
      <c r="B134" t="s">
        <v>586</v>
      </c>
      <c r="C134" t="s">
        <v>278</v>
      </c>
      <c r="D134" t="str">
        <f>VLOOKUP(C:C,Treatment[#All],2,0)</f>
        <v>A133</v>
      </c>
      <c r="E134" t="str">
        <f>VLOOKUP(D:D,Appointment[#All],3,0)</f>
        <v>D001</v>
      </c>
      <c r="F134" t="str">
        <f>VLOOKUP(Belling[[#This Row],[Docter_id]],Doctor[#All],2,FALSE)</f>
        <v>David</v>
      </c>
      <c r="G134" s="1">
        <f>VLOOKUP(Belling[[#This Row],[Appointment ID]],Appointment[#All],5,FALSE)</f>
        <v>45008</v>
      </c>
      <c r="H134" s="1">
        <v>45008</v>
      </c>
      <c r="I134">
        <v>4289.1499999999996</v>
      </c>
      <c r="J134" t="s">
        <v>644</v>
      </c>
      <c r="K134" t="s">
        <v>647</v>
      </c>
      <c r="L134" t="str">
        <f>VLOOKUP(Belling[[#This Row],[patient_id]],Patient[#All],9,FALSE)</f>
        <v>PulseSecure</v>
      </c>
      <c r="M134" t="str">
        <f t="shared" si="6"/>
        <v>Clear</v>
      </c>
      <c r="N134" t="str">
        <f>VLOOKUP(E:E,Doctor[#All],4,0)</f>
        <v>Dermatology</v>
      </c>
      <c r="O134">
        <f t="shared" si="7"/>
        <v>0</v>
      </c>
      <c r="P134" s="15">
        <f>VLOOKUP(Belling[[#This Row],[patient_id]],Patient[#All],12,FALSE)</f>
        <v>2023</v>
      </c>
    </row>
    <row r="135" spans="1:16" x14ac:dyDescent="0.25">
      <c r="A135" t="s">
        <v>782</v>
      </c>
      <c r="B135" t="s">
        <v>524</v>
      </c>
      <c r="C135" t="s">
        <v>280</v>
      </c>
      <c r="D135" t="str">
        <f>VLOOKUP(C:C,Treatment[#All],2,0)</f>
        <v>A134</v>
      </c>
      <c r="E135" t="str">
        <f>VLOOKUP(D:D,Appointment[#All],3,0)</f>
        <v>D006</v>
      </c>
      <c r="F135" t="str">
        <f>VLOOKUP(Belling[[#This Row],[Docter_id]],Doctor[#All],2,FALSE)</f>
        <v>Alex</v>
      </c>
      <c r="G135" s="1">
        <f>VLOOKUP(Belling[[#This Row],[Appointment ID]],Appointment[#All],5,FALSE)</f>
        <v>45216</v>
      </c>
      <c r="H135" s="1">
        <v>45216</v>
      </c>
      <c r="I135">
        <v>2844.31</v>
      </c>
      <c r="J135" t="s">
        <v>644</v>
      </c>
      <c r="K135" t="s">
        <v>650</v>
      </c>
      <c r="L135" t="str">
        <f>VLOOKUP(Belling[[#This Row],[patient_id]],Patient[#All],9,FALSE)</f>
        <v>HealthIndia</v>
      </c>
      <c r="M135" t="str">
        <f t="shared" si="6"/>
        <v>Check Required</v>
      </c>
      <c r="N135" t="str">
        <f>VLOOKUP(E:E,Doctor[#All],4,0)</f>
        <v>Pediatrics</v>
      </c>
      <c r="O135">
        <f t="shared" si="7"/>
        <v>0</v>
      </c>
      <c r="P135" s="15">
        <f>VLOOKUP(Belling[[#This Row],[patient_id]],Patient[#All],12,FALSE)</f>
        <v>2021</v>
      </c>
    </row>
    <row r="136" spans="1:16" x14ac:dyDescent="0.25">
      <c r="A136" t="s">
        <v>783</v>
      </c>
      <c r="B136" t="s">
        <v>513</v>
      </c>
      <c r="C136" t="s">
        <v>282</v>
      </c>
      <c r="D136" t="str">
        <f>VLOOKUP(C:C,Treatment[#All],2,0)</f>
        <v>A135</v>
      </c>
      <c r="E136" t="str">
        <f>VLOOKUP(D:D,Appointment[#All],3,0)</f>
        <v>D005</v>
      </c>
      <c r="F136" t="str">
        <f>VLOOKUP(Belling[[#This Row],[Docter_id]],Doctor[#All],2,FALSE)</f>
        <v>Sarah</v>
      </c>
      <c r="G136" s="1">
        <f>VLOOKUP(Belling[[#This Row],[Appointment ID]],Appointment[#All],5,FALSE)</f>
        <v>45178</v>
      </c>
      <c r="H136" s="1">
        <v>45178</v>
      </c>
      <c r="I136">
        <v>3306.14</v>
      </c>
      <c r="J136" t="s">
        <v>652</v>
      </c>
      <c r="K136" t="s">
        <v>645</v>
      </c>
      <c r="L136" t="str">
        <f>VLOOKUP(Belling[[#This Row],[patient_id]],Patient[#All],9,FALSE)</f>
        <v>MedCare Plus</v>
      </c>
      <c r="M136" t="str">
        <f t="shared" si="6"/>
        <v>Check Required</v>
      </c>
      <c r="N136" t="str">
        <f>VLOOKUP(E:E,Doctor[#All],4,0)</f>
        <v>Dermatology</v>
      </c>
      <c r="O136">
        <f t="shared" si="7"/>
        <v>0</v>
      </c>
      <c r="P136" s="15">
        <f>VLOOKUP(Belling[[#This Row],[patient_id]],Patient[#All],12,FALSE)</f>
        <v>2021</v>
      </c>
    </row>
    <row r="137" spans="1:16" x14ac:dyDescent="0.25">
      <c r="A137" t="s">
        <v>784</v>
      </c>
      <c r="B137" t="s">
        <v>483</v>
      </c>
      <c r="C137" t="s">
        <v>284</v>
      </c>
      <c r="D137" t="str">
        <f>VLOOKUP(C:C,Treatment[#All],2,0)</f>
        <v>A136</v>
      </c>
      <c r="E137" t="str">
        <f>VLOOKUP(D:D,Appointment[#All],3,0)</f>
        <v>D009</v>
      </c>
      <c r="F137" t="str">
        <f>VLOOKUP(Belling[[#This Row],[Docter_id]],Doctor[#All],2,FALSE)</f>
        <v>Sarah</v>
      </c>
      <c r="G137" s="1">
        <f>VLOOKUP(Belling[[#This Row],[Appointment ID]],Appointment[#All],5,FALSE)</f>
        <v>45059</v>
      </c>
      <c r="H137" s="1">
        <v>45059</v>
      </c>
      <c r="I137">
        <v>901.06</v>
      </c>
      <c r="J137" t="s">
        <v>652</v>
      </c>
      <c r="K137" t="s">
        <v>650</v>
      </c>
      <c r="L137" t="str">
        <f>VLOOKUP(Belling[[#This Row],[patient_id]],Patient[#All],9,FALSE)</f>
        <v>WellnessCorp</v>
      </c>
      <c r="M137" t="str">
        <f t="shared" si="6"/>
        <v>Check Required</v>
      </c>
      <c r="N137" t="str">
        <f>VLOOKUP(E:E,Doctor[#All],4,0)</f>
        <v>Pediatrics</v>
      </c>
      <c r="O137">
        <f t="shared" si="7"/>
        <v>0</v>
      </c>
      <c r="P137" s="15">
        <f>VLOOKUP(Belling[[#This Row],[patient_id]],Patient[#All],12,FALSE)</f>
        <v>2021</v>
      </c>
    </row>
    <row r="138" spans="1:16" x14ac:dyDescent="0.25">
      <c r="A138" t="s">
        <v>785</v>
      </c>
      <c r="B138" t="s">
        <v>502</v>
      </c>
      <c r="C138" t="s">
        <v>286</v>
      </c>
      <c r="D138" t="str">
        <f>VLOOKUP(C:C,Treatment[#All],2,0)</f>
        <v>A137</v>
      </c>
      <c r="E138" t="str">
        <f>VLOOKUP(D:D,Appointment[#All],3,0)</f>
        <v>D001</v>
      </c>
      <c r="F138" t="str">
        <f>VLOOKUP(Belling[[#This Row],[Docter_id]],Doctor[#All],2,FALSE)</f>
        <v>David</v>
      </c>
      <c r="G138" s="1">
        <f>VLOOKUP(Belling[[#This Row],[Appointment ID]],Appointment[#All],5,FALSE)</f>
        <v>45224</v>
      </c>
      <c r="H138" s="1">
        <v>45224</v>
      </c>
      <c r="I138">
        <v>3898.72</v>
      </c>
      <c r="J138" t="s">
        <v>652</v>
      </c>
      <c r="K138" t="s">
        <v>645</v>
      </c>
      <c r="L138" t="str">
        <f>VLOOKUP(Belling[[#This Row],[patient_id]],Patient[#All],9,FALSE)</f>
        <v>WellnessCorp</v>
      </c>
      <c r="M138" t="str">
        <f t="shared" si="6"/>
        <v>Check Required</v>
      </c>
      <c r="N138" t="str">
        <f>VLOOKUP(E:E,Doctor[#All],4,0)</f>
        <v>Dermatology</v>
      </c>
      <c r="O138">
        <f t="shared" si="7"/>
        <v>0</v>
      </c>
      <c r="P138" s="15">
        <f>VLOOKUP(Belling[[#This Row],[patient_id]],Patient[#All],12,FALSE)</f>
        <v>2023</v>
      </c>
    </row>
    <row r="139" spans="1:16" x14ac:dyDescent="0.25">
      <c r="A139" t="s">
        <v>786</v>
      </c>
      <c r="B139" t="s">
        <v>589</v>
      </c>
      <c r="C139" t="s">
        <v>288</v>
      </c>
      <c r="D139" t="str">
        <f>VLOOKUP(C:C,Treatment[#All],2,0)</f>
        <v>A138</v>
      </c>
      <c r="E139" t="str">
        <f>VLOOKUP(D:D,Appointment[#All],3,0)</f>
        <v>D007</v>
      </c>
      <c r="F139" t="str">
        <f>VLOOKUP(Belling[[#This Row],[Docter_id]],Doctor[#All],2,FALSE)</f>
        <v>Robert</v>
      </c>
      <c r="G139" s="1">
        <f>VLOOKUP(Belling[[#This Row],[Appointment ID]],Appointment[#All],5,FALSE)</f>
        <v>45286</v>
      </c>
      <c r="H139" s="1">
        <v>45286</v>
      </c>
      <c r="I139">
        <v>1074.71</v>
      </c>
      <c r="J139" t="s">
        <v>655</v>
      </c>
      <c r="K139" t="s">
        <v>647</v>
      </c>
      <c r="L139" t="str">
        <f>VLOOKUP(Belling[[#This Row],[patient_id]],Patient[#All],9,FALSE)</f>
        <v>MedCare Plus</v>
      </c>
      <c r="M139" t="str">
        <f t="shared" si="6"/>
        <v>Clear</v>
      </c>
      <c r="N139" t="str">
        <f>VLOOKUP(E:E,Doctor[#All],4,0)</f>
        <v>Oncology</v>
      </c>
      <c r="O139">
        <f t="shared" si="7"/>
        <v>0</v>
      </c>
      <c r="P139" s="15">
        <f>VLOOKUP(Belling[[#This Row],[patient_id]],Patient[#All],12,FALSE)</f>
        <v>2023</v>
      </c>
    </row>
    <row r="140" spans="1:16" x14ac:dyDescent="0.25">
      <c r="A140" t="s">
        <v>787</v>
      </c>
      <c r="B140" t="s">
        <v>555</v>
      </c>
      <c r="C140" t="s">
        <v>290</v>
      </c>
      <c r="D140" t="str">
        <f>VLOOKUP(C:C,Treatment[#All],2,0)</f>
        <v>A139</v>
      </c>
      <c r="E140" t="str">
        <f>VLOOKUP(D:D,Appointment[#All],3,0)</f>
        <v>D005</v>
      </c>
      <c r="F140" t="str">
        <f>VLOOKUP(Belling[[#This Row],[Docter_id]],Doctor[#All],2,FALSE)</f>
        <v>Sarah</v>
      </c>
      <c r="G140" s="1">
        <f>VLOOKUP(Belling[[#This Row],[Appointment ID]],Appointment[#All],5,FALSE)</f>
        <v>45209</v>
      </c>
      <c r="H140" s="1">
        <v>45209</v>
      </c>
      <c r="I140">
        <v>4217.3</v>
      </c>
      <c r="J140" t="s">
        <v>644</v>
      </c>
      <c r="K140" t="s">
        <v>645</v>
      </c>
      <c r="L140" t="str">
        <f>VLOOKUP(Belling[[#This Row],[patient_id]],Patient[#All],9,FALSE)</f>
        <v>MedCare Plus</v>
      </c>
      <c r="M140" t="str">
        <f t="shared" si="6"/>
        <v>Check Required</v>
      </c>
      <c r="N140" t="str">
        <f>VLOOKUP(E:E,Doctor[#All],4,0)</f>
        <v>Dermatology</v>
      </c>
      <c r="O140">
        <f t="shared" si="7"/>
        <v>0</v>
      </c>
      <c r="P140" s="15">
        <f>VLOOKUP(Belling[[#This Row],[patient_id]],Patient[#All],12,FALSE)</f>
        <v>2022</v>
      </c>
    </row>
    <row r="141" spans="1:16" x14ac:dyDescent="0.25">
      <c r="A141" t="s">
        <v>788</v>
      </c>
      <c r="B141" t="s">
        <v>481</v>
      </c>
      <c r="C141" t="s">
        <v>292</v>
      </c>
      <c r="D141" t="str">
        <f>VLOOKUP(C:C,Treatment[#All],2,0)</f>
        <v>A140</v>
      </c>
      <c r="E141" t="str">
        <f>VLOOKUP(D:D,Appointment[#All],3,0)</f>
        <v>D005</v>
      </c>
      <c r="F141" t="str">
        <f>VLOOKUP(Belling[[#This Row],[Docter_id]],Doctor[#All],2,FALSE)</f>
        <v>Sarah</v>
      </c>
      <c r="G141" s="1">
        <f>VLOOKUP(Belling[[#This Row],[Appointment ID]],Appointment[#All],5,FALSE)</f>
        <v>44962</v>
      </c>
      <c r="H141" s="1">
        <v>45048</v>
      </c>
      <c r="I141">
        <v>4019.13</v>
      </c>
      <c r="J141" t="s">
        <v>655</v>
      </c>
      <c r="K141" t="s">
        <v>645</v>
      </c>
      <c r="L141" t="str">
        <f>VLOOKUP(Belling[[#This Row],[patient_id]],Patient[#All],9,FALSE)</f>
        <v>MedCare Plus</v>
      </c>
      <c r="M141" t="str">
        <f t="shared" si="6"/>
        <v>Check Required</v>
      </c>
      <c r="N141" t="str">
        <f>VLOOKUP(E:E,Doctor[#All],4,0)</f>
        <v>Dermatology</v>
      </c>
      <c r="O141">
        <f t="shared" si="7"/>
        <v>86</v>
      </c>
      <c r="P141" s="15">
        <f>VLOOKUP(Belling[[#This Row],[patient_id]],Patient[#All],12,FALSE)</f>
        <v>2023</v>
      </c>
    </row>
    <row r="142" spans="1:16" x14ac:dyDescent="0.25">
      <c r="A142" t="s">
        <v>789</v>
      </c>
      <c r="B142" t="s">
        <v>568</v>
      </c>
      <c r="C142" t="s">
        <v>294</v>
      </c>
      <c r="D142" t="str">
        <f>VLOOKUP(C:C,Treatment[#All],2,0)</f>
        <v>A141</v>
      </c>
      <c r="E142" t="str">
        <f>VLOOKUP(D:D,Appointment[#All],3,0)</f>
        <v>D002</v>
      </c>
      <c r="F142" t="str">
        <f>VLOOKUP(Belling[[#This Row],[Docter_id]],Doctor[#All],2,FALSE)</f>
        <v>Jane</v>
      </c>
      <c r="G142" s="1">
        <f>VLOOKUP(Belling[[#This Row],[Appointment ID]],Appointment[#All],5,FALSE)</f>
        <v>45092</v>
      </c>
      <c r="H142" s="1">
        <v>45092</v>
      </c>
      <c r="I142">
        <v>3689.35</v>
      </c>
      <c r="J142" t="s">
        <v>644</v>
      </c>
      <c r="K142" t="s">
        <v>645</v>
      </c>
      <c r="L142" t="str">
        <f>VLOOKUP(Belling[[#This Row],[patient_id]],Patient[#All],9,FALSE)</f>
        <v>WellnessCorp</v>
      </c>
      <c r="M142" t="str">
        <f t="shared" si="6"/>
        <v>Check Required</v>
      </c>
      <c r="N142" t="str">
        <f>VLOOKUP(E:E,Doctor[#All],4,0)</f>
        <v>Pediatrics</v>
      </c>
      <c r="O142">
        <f t="shared" si="7"/>
        <v>0</v>
      </c>
      <c r="P142" s="15">
        <f>VLOOKUP(Belling[[#This Row],[patient_id]],Patient[#All],12,FALSE)</f>
        <v>2022</v>
      </c>
    </row>
    <row r="143" spans="1:16" x14ac:dyDescent="0.25">
      <c r="A143" t="s">
        <v>790</v>
      </c>
      <c r="B143" t="s">
        <v>502</v>
      </c>
      <c r="C143" t="s">
        <v>296</v>
      </c>
      <c r="D143" t="str">
        <f>VLOOKUP(C:C,Treatment[#All],2,0)</f>
        <v>A142</v>
      </c>
      <c r="E143" t="str">
        <f>VLOOKUP(D:D,Appointment[#All],3,0)</f>
        <v>D003</v>
      </c>
      <c r="F143" t="str">
        <f>VLOOKUP(Belling[[#This Row],[Docter_id]],Doctor[#All],2,FALSE)</f>
        <v>Jane</v>
      </c>
      <c r="G143" s="1">
        <f>VLOOKUP(Belling[[#This Row],[Appointment ID]],Appointment[#All],5,FALSE)</f>
        <v>45231</v>
      </c>
      <c r="H143" s="1">
        <v>44937</v>
      </c>
      <c r="I143">
        <v>662.72</v>
      </c>
      <c r="J143" t="s">
        <v>644</v>
      </c>
      <c r="K143" t="s">
        <v>647</v>
      </c>
      <c r="L143" t="str">
        <f>VLOOKUP(Belling[[#This Row],[patient_id]],Patient[#All],9,FALSE)</f>
        <v>WellnessCorp</v>
      </c>
      <c r="M143" t="str">
        <f t="shared" si="6"/>
        <v>Clear</v>
      </c>
      <c r="N143" t="str">
        <f>VLOOKUP(E:E,Doctor[#All],4,0)</f>
        <v>Pediatrics</v>
      </c>
      <c r="O143">
        <f t="shared" si="7"/>
        <v>-294</v>
      </c>
      <c r="P143" s="15">
        <f>VLOOKUP(Belling[[#This Row],[patient_id]],Patient[#All],12,FALSE)</f>
        <v>2023</v>
      </c>
    </row>
    <row r="144" spans="1:16" x14ac:dyDescent="0.25">
      <c r="A144" t="s">
        <v>791</v>
      </c>
      <c r="B144" t="s">
        <v>481</v>
      </c>
      <c r="C144" t="s">
        <v>298</v>
      </c>
      <c r="D144" t="str">
        <f>VLOOKUP(C:C,Treatment[#All],2,0)</f>
        <v>A143</v>
      </c>
      <c r="E144" t="str">
        <f>VLOOKUP(D:D,Appointment[#All],3,0)</f>
        <v>D007</v>
      </c>
      <c r="F144" t="str">
        <f>VLOOKUP(Belling[[#This Row],[Docter_id]],Doctor[#All],2,FALSE)</f>
        <v>Robert</v>
      </c>
      <c r="G144" s="1">
        <f>VLOOKUP(Belling[[#This Row],[Appointment ID]],Appointment[#All],5,FALSE)</f>
        <v>45190</v>
      </c>
      <c r="H144" s="1">
        <v>45190</v>
      </c>
      <c r="I144">
        <v>1864.08</v>
      </c>
      <c r="J144" t="s">
        <v>644</v>
      </c>
      <c r="K144" t="s">
        <v>650</v>
      </c>
      <c r="L144" t="str">
        <f>VLOOKUP(Belling[[#This Row],[patient_id]],Patient[#All],9,FALSE)</f>
        <v>MedCare Plus</v>
      </c>
      <c r="M144" t="str">
        <f t="shared" si="6"/>
        <v>Check Required</v>
      </c>
      <c r="N144" t="str">
        <f>VLOOKUP(E:E,Doctor[#All],4,0)</f>
        <v>Oncology</v>
      </c>
      <c r="O144">
        <f t="shared" si="7"/>
        <v>0</v>
      </c>
      <c r="P144" s="15">
        <f>VLOOKUP(Belling[[#This Row],[patient_id]],Patient[#All],12,FALSE)</f>
        <v>2023</v>
      </c>
    </row>
    <row r="145" spans="1:16" x14ac:dyDescent="0.25">
      <c r="A145" t="s">
        <v>792</v>
      </c>
      <c r="B145" t="s">
        <v>471</v>
      </c>
      <c r="C145" t="s">
        <v>300</v>
      </c>
      <c r="D145" t="str">
        <f>VLOOKUP(C:C,Treatment[#All],2,0)</f>
        <v>A144</v>
      </c>
      <c r="E145" t="str">
        <f>VLOOKUP(D:D,Appointment[#All],3,0)</f>
        <v>D006</v>
      </c>
      <c r="F145" t="str">
        <f>VLOOKUP(Belling[[#This Row],[Docter_id]],Doctor[#All],2,FALSE)</f>
        <v>Alex</v>
      </c>
      <c r="G145" s="1">
        <f>VLOOKUP(Belling[[#This Row],[Appointment ID]],Appointment[#All],5,FALSE)</f>
        <v>45154</v>
      </c>
      <c r="H145" s="1">
        <v>45154</v>
      </c>
      <c r="I145">
        <v>1684.01</v>
      </c>
      <c r="J145" t="s">
        <v>644</v>
      </c>
      <c r="K145" t="s">
        <v>650</v>
      </c>
      <c r="L145" t="str">
        <f>VLOOKUP(Belling[[#This Row],[patient_id]],Patient[#All],9,FALSE)</f>
        <v>PulseSecure</v>
      </c>
      <c r="M145" t="str">
        <f t="shared" si="6"/>
        <v>Check Required</v>
      </c>
      <c r="N145" t="str">
        <f>VLOOKUP(E:E,Doctor[#All],4,0)</f>
        <v>Pediatrics</v>
      </c>
      <c r="O145">
        <f t="shared" si="7"/>
        <v>0</v>
      </c>
      <c r="P145" s="15">
        <f>VLOOKUP(Belling[[#This Row],[patient_id]],Patient[#All],12,FALSE)</f>
        <v>2022</v>
      </c>
    </row>
    <row r="146" spans="1:16" x14ac:dyDescent="0.25">
      <c r="A146" t="s">
        <v>793</v>
      </c>
      <c r="B146" t="s">
        <v>462</v>
      </c>
      <c r="C146" t="s">
        <v>302</v>
      </c>
      <c r="D146" t="str">
        <f>VLOOKUP(C:C,Treatment[#All],2,0)</f>
        <v>A145</v>
      </c>
      <c r="E146" t="str">
        <f>VLOOKUP(D:D,Appointment[#All],3,0)</f>
        <v>D002</v>
      </c>
      <c r="F146" t="str">
        <f>VLOOKUP(Belling[[#This Row],[Docter_id]],Doctor[#All],2,FALSE)</f>
        <v>Jane</v>
      </c>
      <c r="G146" s="1">
        <f>VLOOKUP(Belling[[#This Row],[Appointment ID]],Appointment[#All],5,FALSE)</f>
        <v>45241</v>
      </c>
      <c r="H146" s="1">
        <v>45241</v>
      </c>
      <c r="I146">
        <v>2120.61</v>
      </c>
      <c r="J146" t="s">
        <v>644</v>
      </c>
      <c r="K146" t="s">
        <v>647</v>
      </c>
      <c r="L146" t="str">
        <f>VLOOKUP(Belling[[#This Row],[patient_id]],Patient[#All],9,FALSE)</f>
        <v>MedCare Plus</v>
      </c>
      <c r="M146" t="str">
        <f t="shared" si="6"/>
        <v>Clear</v>
      </c>
      <c r="N146" t="str">
        <f>VLOOKUP(E:E,Doctor[#All],4,0)</f>
        <v>Pediatrics</v>
      </c>
      <c r="O146">
        <f t="shared" si="7"/>
        <v>0</v>
      </c>
      <c r="P146" s="15">
        <f>VLOOKUP(Belling[[#This Row],[patient_id]],Patient[#All],12,FALSE)</f>
        <v>2021</v>
      </c>
    </row>
    <row r="147" spans="1:16" x14ac:dyDescent="0.25">
      <c r="A147" t="s">
        <v>794</v>
      </c>
      <c r="B147" t="s">
        <v>534</v>
      </c>
      <c r="C147" t="s">
        <v>304</v>
      </c>
      <c r="D147" t="str">
        <f>VLOOKUP(C:C,Treatment[#All],2,0)</f>
        <v>A146</v>
      </c>
      <c r="E147" t="str">
        <f>VLOOKUP(D:D,Appointment[#All],3,0)</f>
        <v>D006</v>
      </c>
      <c r="F147" t="str">
        <f>VLOOKUP(Belling[[#This Row],[Docter_id]],Doctor[#All],2,FALSE)</f>
        <v>Alex</v>
      </c>
      <c r="G147" s="1">
        <f>VLOOKUP(Belling[[#This Row],[Appointment ID]],Appointment[#All],5,FALSE)</f>
        <v>44931</v>
      </c>
      <c r="H147" s="1">
        <v>45047</v>
      </c>
      <c r="I147">
        <v>894.39</v>
      </c>
      <c r="J147" t="s">
        <v>644</v>
      </c>
      <c r="K147" t="s">
        <v>645</v>
      </c>
      <c r="L147" t="str">
        <f>VLOOKUP(Belling[[#This Row],[patient_id]],Patient[#All],9,FALSE)</f>
        <v>MedCare Plus</v>
      </c>
      <c r="M147" t="str">
        <f t="shared" si="6"/>
        <v>Check Required</v>
      </c>
      <c r="N147" t="str">
        <f>VLOOKUP(E:E,Doctor[#All],4,0)</f>
        <v>Pediatrics</v>
      </c>
      <c r="O147">
        <f t="shared" si="7"/>
        <v>116</v>
      </c>
      <c r="P147" s="15">
        <f>VLOOKUP(Belling[[#This Row],[patient_id]],Patient[#All],12,FALSE)</f>
        <v>2023</v>
      </c>
    </row>
    <row r="148" spans="1:16" x14ac:dyDescent="0.25">
      <c r="A148" t="s">
        <v>795</v>
      </c>
      <c r="B148" t="s">
        <v>486</v>
      </c>
      <c r="C148" t="s">
        <v>306</v>
      </c>
      <c r="D148" t="str">
        <f>VLOOKUP(C:C,Treatment[#All],2,0)</f>
        <v>A147</v>
      </c>
      <c r="E148" t="str">
        <f>VLOOKUP(D:D,Appointment[#All],3,0)</f>
        <v>D002</v>
      </c>
      <c r="F148" t="str">
        <f>VLOOKUP(Belling[[#This Row],[Docter_id]],Doctor[#All],2,FALSE)</f>
        <v>Jane</v>
      </c>
      <c r="G148" s="1">
        <f>VLOOKUP(Belling[[#This Row],[Appointment ID]],Appointment[#All],5,FALSE)</f>
        <v>45243</v>
      </c>
      <c r="H148" s="1">
        <v>45243</v>
      </c>
      <c r="I148">
        <v>4716.3100000000004</v>
      </c>
      <c r="J148" t="s">
        <v>644</v>
      </c>
      <c r="K148" t="s">
        <v>650</v>
      </c>
      <c r="L148" t="str">
        <f>VLOOKUP(Belling[[#This Row],[patient_id]],Patient[#All],9,FALSE)</f>
        <v>MedCare Plus</v>
      </c>
      <c r="M148" t="str">
        <f t="shared" si="6"/>
        <v>Check Required</v>
      </c>
      <c r="N148" t="str">
        <f>VLOOKUP(E:E,Doctor[#All],4,0)</f>
        <v>Pediatrics</v>
      </c>
      <c r="O148">
        <f t="shared" si="7"/>
        <v>0</v>
      </c>
      <c r="P148" s="15">
        <f>VLOOKUP(Belling[[#This Row],[patient_id]],Patient[#All],12,FALSE)</f>
        <v>2023</v>
      </c>
    </row>
    <row r="149" spans="1:16" x14ac:dyDescent="0.25">
      <c r="A149" t="s">
        <v>796</v>
      </c>
      <c r="B149" t="s">
        <v>543</v>
      </c>
      <c r="C149" t="s">
        <v>308</v>
      </c>
      <c r="D149" t="str">
        <f>VLOOKUP(C:C,Treatment[#All],2,0)</f>
        <v>A148</v>
      </c>
      <c r="E149" t="str">
        <f>VLOOKUP(D:D,Appointment[#All],3,0)</f>
        <v>D002</v>
      </c>
      <c r="F149" t="str">
        <f>VLOOKUP(Belling[[#This Row],[Docter_id]],Doctor[#All],2,FALSE)</f>
        <v>Jane</v>
      </c>
      <c r="G149" s="1">
        <f>VLOOKUP(Belling[[#This Row],[Appointment ID]],Appointment[#All],5,FALSE)</f>
        <v>45266</v>
      </c>
      <c r="H149" s="1">
        <v>45089</v>
      </c>
      <c r="I149">
        <v>2992.11</v>
      </c>
      <c r="J149" t="s">
        <v>655</v>
      </c>
      <c r="K149" t="s">
        <v>647</v>
      </c>
      <c r="L149" t="str">
        <f>VLOOKUP(Belling[[#This Row],[patient_id]],Patient[#All],9,FALSE)</f>
        <v>WellnessCorp</v>
      </c>
      <c r="M149" t="str">
        <f t="shared" si="6"/>
        <v>Clear</v>
      </c>
      <c r="N149" t="str">
        <f>VLOOKUP(E:E,Doctor[#All],4,0)</f>
        <v>Pediatrics</v>
      </c>
      <c r="O149">
        <f t="shared" si="7"/>
        <v>-177</v>
      </c>
      <c r="P149" s="15">
        <f>VLOOKUP(Belling[[#This Row],[patient_id]],Patient[#All],12,FALSE)</f>
        <v>2022</v>
      </c>
    </row>
    <row r="150" spans="1:16" x14ac:dyDescent="0.25">
      <c r="A150" t="s">
        <v>797</v>
      </c>
      <c r="B150" t="s">
        <v>502</v>
      </c>
      <c r="C150" t="s">
        <v>310</v>
      </c>
      <c r="D150" t="str">
        <f>VLOOKUP(C:C,Treatment[#All],2,0)</f>
        <v>A149</v>
      </c>
      <c r="E150" t="str">
        <f>VLOOKUP(D:D,Appointment[#All],3,0)</f>
        <v>D002</v>
      </c>
      <c r="F150" t="str">
        <f>VLOOKUP(Belling[[#This Row],[Docter_id]],Doctor[#All],2,FALSE)</f>
        <v>Jane</v>
      </c>
      <c r="G150" s="1">
        <f>VLOOKUP(Belling[[#This Row],[Appointment ID]],Appointment[#All],5,FALSE)</f>
        <v>45133</v>
      </c>
      <c r="H150" s="1">
        <v>45133</v>
      </c>
      <c r="I150">
        <v>1874.86</v>
      </c>
      <c r="J150" t="s">
        <v>652</v>
      </c>
      <c r="K150" t="s">
        <v>650</v>
      </c>
      <c r="L150" t="str">
        <f>VLOOKUP(Belling[[#This Row],[patient_id]],Patient[#All],9,FALSE)</f>
        <v>WellnessCorp</v>
      </c>
      <c r="M150" t="str">
        <f t="shared" si="6"/>
        <v>Check Required</v>
      </c>
      <c r="N150" t="str">
        <f>VLOOKUP(E:E,Doctor[#All],4,0)</f>
        <v>Pediatrics</v>
      </c>
      <c r="O150">
        <f t="shared" si="7"/>
        <v>0</v>
      </c>
      <c r="P150" s="15">
        <f>VLOOKUP(Belling[[#This Row],[patient_id]],Patient[#All],12,FALSE)</f>
        <v>2023</v>
      </c>
    </row>
    <row r="151" spans="1:16" x14ac:dyDescent="0.25">
      <c r="A151" t="s">
        <v>798</v>
      </c>
      <c r="B151" t="s">
        <v>584</v>
      </c>
      <c r="C151" t="s">
        <v>312</v>
      </c>
      <c r="D151" t="str">
        <f>VLOOKUP(C:C,Treatment[#All],2,0)</f>
        <v>A150</v>
      </c>
      <c r="E151" t="str">
        <f>VLOOKUP(D:D,Appointment[#All],3,0)</f>
        <v>D003</v>
      </c>
      <c r="F151" t="str">
        <f>VLOOKUP(Belling[[#This Row],[Docter_id]],Doctor[#All],2,FALSE)</f>
        <v>Jane</v>
      </c>
      <c r="G151" s="1">
        <f>VLOOKUP(Belling[[#This Row],[Appointment ID]],Appointment[#All],5,FALSE)</f>
        <v>45154</v>
      </c>
      <c r="H151" s="1">
        <v>45154</v>
      </c>
      <c r="I151">
        <v>2286.42</v>
      </c>
      <c r="J151" t="s">
        <v>652</v>
      </c>
      <c r="K151" t="s">
        <v>647</v>
      </c>
      <c r="L151" t="str">
        <f>VLOOKUP(Belling[[#This Row],[patient_id]],Patient[#All],9,FALSE)</f>
        <v>WellnessCorp</v>
      </c>
      <c r="M151" t="str">
        <f t="shared" si="6"/>
        <v>Clear</v>
      </c>
      <c r="N151" t="str">
        <f>VLOOKUP(E:E,Doctor[#All],4,0)</f>
        <v>Pediatrics</v>
      </c>
      <c r="O151">
        <f t="shared" si="7"/>
        <v>0</v>
      </c>
      <c r="P151" s="15">
        <f>VLOOKUP(Belling[[#This Row],[patient_id]],Patient[#All],12,FALSE)</f>
        <v>2022</v>
      </c>
    </row>
    <row r="152" spans="1:16" x14ac:dyDescent="0.25">
      <c r="A152" t="s">
        <v>799</v>
      </c>
      <c r="B152" t="s">
        <v>493</v>
      </c>
      <c r="C152" t="s">
        <v>314</v>
      </c>
      <c r="D152" t="str">
        <f>VLOOKUP(C:C,Treatment[#All],2,0)</f>
        <v>A151</v>
      </c>
      <c r="E152" t="str">
        <f>VLOOKUP(D:D,Appointment[#All],3,0)</f>
        <v>D002</v>
      </c>
      <c r="F152" t="str">
        <f>VLOOKUP(Belling[[#This Row],[Docter_id]],Doctor[#All],2,FALSE)</f>
        <v>Jane</v>
      </c>
      <c r="G152" s="1">
        <f>VLOOKUP(Belling[[#This Row],[Appointment ID]],Appointment[#All],5,FALSE)</f>
        <v>44954</v>
      </c>
      <c r="H152" s="1">
        <v>44954</v>
      </c>
      <c r="I152">
        <v>2512.41</v>
      </c>
      <c r="J152" t="s">
        <v>655</v>
      </c>
      <c r="K152" t="s">
        <v>645</v>
      </c>
      <c r="L152" t="str">
        <f>VLOOKUP(Belling[[#This Row],[patient_id]],Patient[#All],9,FALSE)</f>
        <v>PulseSecure</v>
      </c>
      <c r="M152" t="str">
        <f t="shared" si="6"/>
        <v>Check Required</v>
      </c>
      <c r="N152" t="str">
        <f>VLOOKUP(E:E,Doctor[#All],4,0)</f>
        <v>Pediatrics</v>
      </c>
      <c r="O152">
        <f t="shared" si="7"/>
        <v>0</v>
      </c>
      <c r="P152" s="15">
        <f>VLOOKUP(Belling[[#This Row],[patient_id]],Patient[#All],12,FALSE)</f>
        <v>2021</v>
      </c>
    </row>
    <row r="153" spans="1:16" x14ac:dyDescent="0.25">
      <c r="A153" t="s">
        <v>800</v>
      </c>
      <c r="B153" t="s">
        <v>453</v>
      </c>
      <c r="C153" t="s">
        <v>316</v>
      </c>
      <c r="D153" t="str">
        <f>VLOOKUP(C:C,Treatment[#All],2,0)</f>
        <v>A152</v>
      </c>
      <c r="E153" t="str">
        <f>VLOOKUP(D:D,Appointment[#All],3,0)</f>
        <v>D004</v>
      </c>
      <c r="F153" t="str">
        <f>VLOOKUP(Belling[[#This Row],[Docter_id]],Doctor[#All],2,FALSE)</f>
        <v>David</v>
      </c>
      <c r="G153" s="1">
        <f>VLOOKUP(Belling[[#This Row],[Appointment ID]],Appointment[#All],5,FALSE)</f>
        <v>45030</v>
      </c>
      <c r="H153" s="1">
        <v>45030</v>
      </c>
      <c r="I153">
        <v>3202.67</v>
      </c>
      <c r="J153" t="s">
        <v>655</v>
      </c>
      <c r="K153" t="s">
        <v>650</v>
      </c>
      <c r="L153" t="str">
        <f>VLOOKUP(Belling[[#This Row],[patient_id]],Patient[#All],9,FALSE)</f>
        <v>MedCare Plus</v>
      </c>
      <c r="M153" t="str">
        <f t="shared" si="6"/>
        <v>Check Required</v>
      </c>
      <c r="N153" t="str">
        <f>VLOOKUP(E:E,Doctor[#All],4,0)</f>
        <v>Pediatrics</v>
      </c>
      <c r="O153">
        <f t="shared" si="7"/>
        <v>0</v>
      </c>
      <c r="P153" s="15">
        <f>VLOOKUP(Belling[[#This Row],[patient_id]],Patient[#All],12,FALSE)</f>
        <v>2021</v>
      </c>
    </row>
    <row r="154" spans="1:16" x14ac:dyDescent="0.25">
      <c r="A154" t="s">
        <v>801</v>
      </c>
      <c r="B154" t="s">
        <v>553</v>
      </c>
      <c r="C154" t="s">
        <v>318</v>
      </c>
      <c r="D154" t="str">
        <f>VLOOKUP(C:C,Treatment[#All],2,0)</f>
        <v>A153</v>
      </c>
      <c r="E154" t="str">
        <f>VLOOKUP(D:D,Appointment[#All],3,0)</f>
        <v>D009</v>
      </c>
      <c r="F154" t="str">
        <f>VLOOKUP(Belling[[#This Row],[Docter_id]],Doctor[#All],2,FALSE)</f>
        <v>Sarah</v>
      </c>
      <c r="G154" s="1">
        <f>VLOOKUP(Belling[[#This Row],[Appointment ID]],Appointment[#All],5,FALSE)</f>
        <v>45115</v>
      </c>
      <c r="H154" s="1">
        <v>45145</v>
      </c>
      <c r="I154">
        <v>2820.56</v>
      </c>
      <c r="J154" t="s">
        <v>655</v>
      </c>
      <c r="K154" t="s">
        <v>647</v>
      </c>
      <c r="L154" t="str">
        <f>VLOOKUP(Belling[[#This Row],[patient_id]],Patient[#All],9,FALSE)</f>
        <v>MedCare Plus</v>
      </c>
      <c r="M154" t="str">
        <f t="shared" si="6"/>
        <v>Clear</v>
      </c>
      <c r="N154" t="str">
        <f>VLOOKUP(E:E,Doctor[#All],4,0)</f>
        <v>Pediatrics</v>
      </c>
      <c r="O154">
        <f t="shared" si="7"/>
        <v>30</v>
      </c>
      <c r="P154" s="15">
        <f>VLOOKUP(Belling[[#This Row],[patient_id]],Patient[#All],12,FALSE)</f>
        <v>2023</v>
      </c>
    </row>
    <row r="155" spans="1:16" x14ac:dyDescent="0.25">
      <c r="A155" t="s">
        <v>802</v>
      </c>
      <c r="B155" t="s">
        <v>481</v>
      </c>
      <c r="C155" t="s">
        <v>320</v>
      </c>
      <c r="D155" t="str">
        <f>VLOOKUP(C:C,Treatment[#All],2,0)</f>
        <v>A154</v>
      </c>
      <c r="E155" t="str">
        <f>VLOOKUP(D:D,Appointment[#All],3,0)</f>
        <v>D006</v>
      </c>
      <c r="F155" t="str">
        <f>VLOOKUP(Belling[[#This Row],[Docter_id]],Doctor[#All],2,FALSE)</f>
        <v>Alex</v>
      </c>
      <c r="G155" s="1">
        <f>VLOOKUP(Belling[[#This Row],[Appointment ID]],Appointment[#All],5,FALSE)</f>
        <v>44991</v>
      </c>
      <c r="H155" s="1">
        <v>45080</v>
      </c>
      <c r="I155">
        <v>4637.26</v>
      </c>
      <c r="J155" t="s">
        <v>655</v>
      </c>
      <c r="K155" t="s">
        <v>650</v>
      </c>
      <c r="L155" t="str">
        <f>VLOOKUP(Belling[[#This Row],[patient_id]],Patient[#All],9,FALSE)</f>
        <v>MedCare Plus</v>
      </c>
      <c r="M155" t="str">
        <f t="shared" si="6"/>
        <v>Check Required</v>
      </c>
      <c r="N155" t="str">
        <f>VLOOKUP(E:E,Doctor[#All],4,0)</f>
        <v>Pediatrics</v>
      </c>
      <c r="O155">
        <f t="shared" si="7"/>
        <v>89</v>
      </c>
      <c r="P155" s="15">
        <f>VLOOKUP(Belling[[#This Row],[patient_id]],Patient[#All],12,FALSE)</f>
        <v>2023</v>
      </c>
    </row>
    <row r="156" spans="1:16" x14ac:dyDescent="0.25">
      <c r="A156" t="s">
        <v>803</v>
      </c>
      <c r="B156" t="s">
        <v>524</v>
      </c>
      <c r="C156" t="s">
        <v>322</v>
      </c>
      <c r="D156" t="str">
        <f>VLOOKUP(C:C,Treatment[#All],2,0)</f>
        <v>A155</v>
      </c>
      <c r="E156" t="str">
        <f>VLOOKUP(D:D,Appointment[#All],3,0)</f>
        <v>D001</v>
      </c>
      <c r="F156" t="str">
        <f>VLOOKUP(Belling[[#This Row],[Docter_id]],Doctor[#All],2,FALSE)</f>
        <v>David</v>
      </c>
      <c r="G156" s="1">
        <f>VLOOKUP(Belling[[#This Row],[Appointment ID]],Appointment[#All],5,FALSE)</f>
        <v>44929</v>
      </c>
      <c r="H156" s="1">
        <v>44986</v>
      </c>
      <c r="I156">
        <v>2736.34</v>
      </c>
      <c r="J156" t="s">
        <v>644</v>
      </c>
      <c r="K156" t="s">
        <v>650</v>
      </c>
      <c r="L156" t="str">
        <f>VLOOKUP(Belling[[#This Row],[patient_id]],Patient[#All],9,FALSE)</f>
        <v>HealthIndia</v>
      </c>
      <c r="M156" t="str">
        <f t="shared" si="6"/>
        <v>Check Required</v>
      </c>
      <c r="N156" t="str">
        <f>VLOOKUP(E:E,Doctor[#All],4,0)</f>
        <v>Dermatology</v>
      </c>
      <c r="O156">
        <f t="shared" si="7"/>
        <v>57</v>
      </c>
      <c r="P156" s="15">
        <f>VLOOKUP(Belling[[#This Row],[patient_id]],Patient[#All],12,FALSE)</f>
        <v>2021</v>
      </c>
    </row>
    <row r="157" spans="1:16" x14ac:dyDescent="0.25">
      <c r="A157" t="s">
        <v>804</v>
      </c>
      <c r="B157" t="s">
        <v>510</v>
      </c>
      <c r="C157" t="s">
        <v>324</v>
      </c>
      <c r="D157" t="str">
        <f>VLOOKUP(C:C,Treatment[#All],2,0)</f>
        <v>A156</v>
      </c>
      <c r="E157" t="str">
        <f>VLOOKUP(D:D,Appointment[#All],3,0)</f>
        <v>D008</v>
      </c>
      <c r="F157" t="str">
        <f>VLOOKUP(Belling[[#This Row],[Docter_id]],Doctor[#All],2,FALSE)</f>
        <v>Linda</v>
      </c>
      <c r="G157" s="1">
        <f>VLOOKUP(Belling[[#This Row],[Appointment ID]],Appointment[#All],5,FALSE)</f>
        <v>45252</v>
      </c>
      <c r="H157" s="1">
        <v>45252</v>
      </c>
      <c r="I157">
        <v>4964.71</v>
      </c>
      <c r="J157" t="s">
        <v>652</v>
      </c>
      <c r="K157" t="s">
        <v>650</v>
      </c>
      <c r="L157" t="str">
        <f>VLOOKUP(Belling[[#This Row],[patient_id]],Patient[#All],9,FALSE)</f>
        <v>WellnessCorp</v>
      </c>
      <c r="M157" t="str">
        <f t="shared" si="6"/>
        <v>Check Required</v>
      </c>
      <c r="N157" t="str">
        <f>VLOOKUP(E:E,Doctor[#All],4,0)</f>
        <v>Dermatology</v>
      </c>
      <c r="O157">
        <f t="shared" si="7"/>
        <v>0</v>
      </c>
      <c r="P157" s="15">
        <f>VLOOKUP(Belling[[#This Row],[patient_id]],Patient[#All],12,FALSE)</f>
        <v>2022</v>
      </c>
    </row>
    <row r="158" spans="1:16" x14ac:dyDescent="0.25">
      <c r="A158" t="s">
        <v>805</v>
      </c>
      <c r="B158" t="s">
        <v>555</v>
      </c>
      <c r="C158" t="s">
        <v>326</v>
      </c>
      <c r="D158" t="str">
        <f>VLOOKUP(C:C,Treatment[#All],2,0)</f>
        <v>A157</v>
      </c>
      <c r="E158" t="str">
        <f>VLOOKUP(D:D,Appointment[#All],3,0)</f>
        <v>D007</v>
      </c>
      <c r="F158" t="str">
        <f>VLOOKUP(Belling[[#This Row],[Docter_id]],Doctor[#All],2,FALSE)</f>
        <v>Robert</v>
      </c>
      <c r="G158" s="1">
        <f>VLOOKUP(Belling[[#This Row],[Appointment ID]],Appointment[#All],5,FALSE)</f>
        <v>45058</v>
      </c>
      <c r="H158" s="1">
        <v>45265</v>
      </c>
      <c r="I158">
        <v>4331.41</v>
      </c>
      <c r="J158" t="s">
        <v>644</v>
      </c>
      <c r="K158" t="s">
        <v>650</v>
      </c>
      <c r="L158" t="str">
        <f>VLOOKUP(Belling[[#This Row],[patient_id]],Patient[#All],9,FALSE)</f>
        <v>MedCare Plus</v>
      </c>
      <c r="M158" t="str">
        <f t="shared" si="6"/>
        <v>Check Required</v>
      </c>
      <c r="N158" t="str">
        <f>VLOOKUP(E:E,Doctor[#All],4,0)</f>
        <v>Oncology</v>
      </c>
      <c r="O158">
        <f t="shared" si="7"/>
        <v>207</v>
      </c>
      <c r="P158" s="15">
        <f>VLOOKUP(Belling[[#This Row],[patient_id]],Patient[#All],12,FALSE)</f>
        <v>2022</v>
      </c>
    </row>
    <row r="159" spans="1:16" x14ac:dyDescent="0.25">
      <c r="A159" t="s">
        <v>806</v>
      </c>
      <c r="B159" t="s">
        <v>518</v>
      </c>
      <c r="C159" t="s">
        <v>328</v>
      </c>
      <c r="D159" t="str">
        <f>VLOOKUP(C:C,Treatment[#All],2,0)</f>
        <v>A158</v>
      </c>
      <c r="E159" t="str">
        <f>VLOOKUP(D:D,Appointment[#All],3,0)</f>
        <v>D010</v>
      </c>
      <c r="F159" t="str">
        <f>VLOOKUP(Belling[[#This Row],[Docter_id]],Doctor[#All],2,FALSE)</f>
        <v>Linda</v>
      </c>
      <c r="G159" s="1">
        <f>VLOOKUP(Belling[[#This Row],[Appointment ID]],Appointment[#All],5,FALSE)</f>
        <v>45119</v>
      </c>
      <c r="H159" s="1">
        <v>45267</v>
      </c>
      <c r="I159">
        <v>1438.3</v>
      </c>
      <c r="J159" t="s">
        <v>652</v>
      </c>
      <c r="K159" t="s">
        <v>647</v>
      </c>
      <c r="L159" t="str">
        <f>VLOOKUP(Belling[[#This Row],[patient_id]],Patient[#All],9,FALSE)</f>
        <v>WellnessCorp</v>
      </c>
      <c r="M159" t="str">
        <f t="shared" si="6"/>
        <v>Clear</v>
      </c>
      <c r="N159" t="str">
        <f>VLOOKUP(E:E,Doctor[#All],4,0)</f>
        <v>Oncology</v>
      </c>
      <c r="O159">
        <f t="shared" si="7"/>
        <v>148</v>
      </c>
      <c r="P159" s="15">
        <f>VLOOKUP(Belling[[#This Row],[patient_id]],Patient[#All],12,FALSE)</f>
        <v>2021</v>
      </c>
    </row>
    <row r="160" spans="1:16" x14ac:dyDescent="0.25">
      <c r="A160" t="s">
        <v>807</v>
      </c>
      <c r="B160" t="s">
        <v>493</v>
      </c>
      <c r="C160" t="s">
        <v>330</v>
      </c>
      <c r="D160" t="str">
        <f>VLOOKUP(C:C,Treatment[#All],2,0)</f>
        <v>A159</v>
      </c>
      <c r="E160" t="str">
        <f>VLOOKUP(D:D,Appointment[#All],3,0)</f>
        <v>D003</v>
      </c>
      <c r="F160" t="str">
        <f>VLOOKUP(Belling[[#This Row],[Docter_id]],Doctor[#All],2,FALSE)</f>
        <v>Jane</v>
      </c>
      <c r="G160" s="1">
        <f>VLOOKUP(Belling[[#This Row],[Appointment ID]],Appointment[#All],5,FALSE)</f>
        <v>45024</v>
      </c>
      <c r="H160" s="1">
        <v>45142</v>
      </c>
      <c r="I160">
        <v>4687.68</v>
      </c>
      <c r="J160" t="s">
        <v>652</v>
      </c>
      <c r="K160" t="s">
        <v>645</v>
      </c>
      <c r="L160" t="str">
        <f>VLOOKUP(Belling[[#This Row],[patient_id]],Patient[#All],9,FALSE)</f>
        <v>PulseSecure</v>
      </c>
      <c r="M160" t="str">
        <f t="shared" si="6"/>
        <v>Check Required</v>
      </c>
      <c r="N160" t="str">
        <f>VLOOKUP(E:E,Doctor[#All],4,0)</f>
        <v>Pediatrics</v>
      </c>
      <c r="O160">
        <f t="shared" si="7"/>
        <v>118</v>
      </c>
      <c r="P160" s="15">
        <f>VLOOKUP(Belling[[#This Row],[patient_id]],Patient[#All],12,FALSE)</f>
        <v>2021</v>
      </c>
    </row>
    <row r="161" spans="1:16" x14ac:dyDescent="0.25">
      <c r="A161" t="s">
        <v>808</v>
      </c>
      <c r="B161" t="s">
        <v>562</v>
      </c>
      <c r="C161" t="s">
        <v>332</v>
      </c>
      <c r="D161" t="str">
        <f>VLOOKUP(C:C,Treatment[#All],2,0)</f>
        <v>A160</v>
      </c>
      <c r="E161" t="str">
        <f>VLOOKUP(D:D,Appointment[#All],3,0)</f>
        <v>D001</v>
      </c>
      <c r="F161" t="str">
        <f>VLOOKUP(Belling[[#This Row],[Docter_id]],Doctor[#All],2,FALSE)</f>
        <v>David</v>
      </c>
      <c r="G161" s="1">
        <f>VLOOKUP(Belling[[#This Row],[Appointment ID]],Appointment[#All],5,FALSE)</f>
        <v>45277</v>
      </c>
      <c r="H161" s="1">
        <v>45277</v>
      </c>
      <c r="I161">
        <v>1023.65</v>
      </c>
      <c r="J161" t="s">
        <v>655</v>
      </c>
      <c r="K161" t="s">
        <v>647</v>
      </c>
      <c r="L161" t="str">
        <f>VLOOKUP(Belling[[#This Row],[patient_id]],Patient[#All],9,FALSE)</f>
        <v>PulseSecure</v>
      </c>
      <c r="M161" t="str">
        <f t="shared" si="6"/>
        <v>Clear</v>
      </c>
      <c r="N161" t="str">
        <f>VLOOKUP(E:E,Doctor[#All],4,0)</f>
        <v>Dermatology</v>
      </c>
      <c r="O161">
        <f t="shared" si="7"/>
        <v>0</v>
      </c>
      <c r="P161" s="15">
        <f>VLOOKUP(Belling[[#This Row],[patient_id]],Patient[#All],12,FALSE)</f>
        <v>2021</v>
      </c>
    </row>
    <row r="162" spans="1:16" x14ac:dyDescent="0.25">
      <c r="A162" t="s">
        <v>809</v>
      </c>
      <c r="B162" t="s">
        <v>579</v>
      </c>
      <c r="C162" t="s">
        <v>334</v>
      </c>
      <c r="D162" t="str">
        <f>VLOOKUP(C:C,Treatment[#All],2,0)</f>
        <v>A161</v>
      </c>
      <c r="E162" t="str">
        <f>VLOOKUP(D:D,Appointment[#All],3,0)</f>
        <v>D005</v>
      </c>
      <c r="F162" t="str">
        <f>VLOOKUP(Belling[[#This Row],[Docter_id]],Doctor[#All],2,FALSE)</f>
        <v>Sarah</v>
      </c>
      <c r="G162" s="1">
        <f>VLOOKUP(Belling[[#This Row],[Appointment ID]],Appointment[#All],5,FALSE)</f>
        <v>45094</v>
      </c>
      <c r="H162" s="1">
        <v>45094</v>
      </c>
      <c r="I162">
        <v>4178.5200000000004</v>
      </c>
      <c r="J162" t="s">
        <v>644</v>
      </c>
      <c r="K162" t="s">
        <v>647</v>
      </c>
      <c r="L162" t="str">
        <f>VLOOKUP(Belling[[#This Row],[patient_id]],Patient[#All],9,FALSE)</f>
        <v>MedCare Plus</v>
      </c>
      <c r="M162" t="str">
        <f t="shared" ref="M162:M193" si="8">IF(OR(K162="Failed", K162="Pending"), "Check Required", "Clear")</f>
        <v>Clear</v>
      </c>
      <c r="N162" t="str">
        <f>VLOOKUP(E:E,Doctor[#All],4,0)</f>
        <v>Dermatology</v>
      </c>
      <c r="O162">
        <f t="shared" si="7"/>
        <v>0</v>
      </c>
      <c r="P162" s="15">
        <f>VLOOKUP(Belling[[#This Row],[patient_id]],Patient[#All],12,FALSE)</f>
        <v>2021</v>
      </c>
    </row>
    <row r="163" spans="1:16" x14ac:dyDescent="0.25">
      <c r="A163" t="s">
        <v>810</v>
      </c>
      <c r="B163" t="s">
        <v>570</v>
      </c>
      <c r="C163" t="s">
        <v>336</v>
      </c>
      <c r="D163" t="str">
        <f>VLOOKUP(C:C,Treatment[#All],2,0)</f>
        <v>A162</v>
      </c>
      <c r="E163" t="str">
        <f>VLOOKUP(D:D,Appointment[#All],3,0)</f>
        <v>D004</v>
      </c>
      <c r="F163" t="str">
        <f>VLOOKUP(Belling[[#This Row],[Docter_id]],Doctor[#All],2,FALSE)</f>
        <v>David</v>
      </c>
      <c r="G163" s="1">
        <f>VLOOKUP(Belling[[#This Row],[Appointment ID]],Appointment[#All],5,FALSE)</f>
        <v>44927</v>
      </c>
      <c r="H163" s="1">
        <v>44927</v>
      </c>
      <c r="I163">
        <v>2212.8000000000002</v>
      </c>
      <c r="J163" t="s">
        <v>655</v>
      </c>
      <c r="K163" t="s">
        <v>647</v>
      </c>
      <c r="L163" t="str">
        <f>VLOOKUP(Belling[[#This Row],[patient_id]],Patient[#All],9,FALSE)</f>
        <v>MedCare Plus</v>
      </c>
      <c r="M163" t="str">
        <f t="shared" si="8"/>
        <v>Clear</v>
      </c>
      <c r="N163" t="str">
        <f>VLOOKUP(E:E,Doctor[#All],4,0)</f>
        <v>Pediatrics</v>
      </c>
      <c r="O163">
        <f t="shared" si="7"/>
        <v>0</v>
      </c>
      <c r="P163" s="15">
        <f>VLOOKUP(Belling[[#This Row],[patient_id]],Patient[#All],12,FALSE)</f>
        <v>2022</v>
      </c>
    </row>
    <row r="164" spans="1:16" x14ac:dyDescent="0.25">
      <c r="A164" t="s">
        <v>811</v>
      </c>
      <c r="B164" t="s">
        <v>562</v>
      </c>
      <c r="C164" t="s">
        <v>338</v>
      </c>
      <c r="D164" t="str">
        <f>VLOOKUP(C:C,Treatment[#All],2,0)</f>
        <v>A163</v>
      </c>
      <c r="E164" t="str">
        <f>VLOOKUP(D:D,Appointment[#All],3,0)</f>
        <v>D010</v>
      </c>
      <c r="F164" t="str">
        <f>VLOOKUP(Belling[[#This Row],[Docter_id]],Doctor[#All],2,FALSE)</f>
        <v>Linda</v>
      </c>
      <c r="G164" s="1">
        <f>VLOOKUP(Belling[[#This Row],[Appointment ID]],Appointment[#All],5,FALSE)</f>
        <v>45104</v>
      </c>
      <c r="H164" s="1">
        <v>45104</v>
      </c>
      <c r="I164">
        <v>4450.88</v>
      </c>
      <c r="J164" t="s">
        <v>644</v>
      </c>
      <c r="K164" t="s">
        <v>645</v>
      </c>
      <c r="L164" t="str">
        <f>VLOOKUP(Belling[[#This Row],[patient_id]],Patient[#All],9,FALSE)</f>
        <v>PulseSecure</v>
      </c>
      <c r="M164" t="str">
        <f t="shared" si="8"/>
        <v>Check Required</v>
      </c>
      <c r="N164" t="str">
        <f>VLOOKUP(E:E,Doctor[#All],4,0)</f>
        <v>Oncology</v>
      </c>
      <c r="O164">
        <f t="shared" si="7"/>
        <v>0</v>
      </c>
      <c r="P164" s="15">
        <f>VLOOKUP(Belling[[#This Row],[patient_id]],Patient[#All],12,FALSE)</f>
        <v>2021</v>
      </c>
    </row>
    <row r="165" spans="1:16" x14ac:dyDescent="0.25">
      <c r="A165" t="s">
        <v>812</v>
      </c>
      <c r="B165" t="s">
        <v>486</v>
      </c>
      <c r="C165" t="s">
        <v>340</v>
      </c>
      <c r="D165" t="str">
        <f>VLOOKUP(C:C,Treatment[#All],2,0)</f>
        <v>A164</v>
      </c>
      <c r="E165" t="str">
        <f>VLOOKUP(D:D,Appointment[#All],3,0)</f>
        <v>D008</v>
      </c>
      <c r="F165" t="str">
        <f>VLOOKUP(Belling[[#This Row],[Docter_id]],Doctor[#All],2,FALSE)</f>
        <v>Linda</v>
      </c>
      <c r="G165" s="1">
        <f>VLOOKUP(Belling[[#This Row],[Appointment ID]],Appointment[#All],5,FALSE)</f>
        <v>45135</v>
      </c>
      <c r="H165" s="1">
        <v>45135</v>
      </c>
      <c r="I165">
        <v>4406.26</v>
      </c>
      <c r="J165" t="s">
        <v>652</v>
      </c>
      <c r="K165" t="s">
        <v>650</v>
      </c>
      <c r="L165" t="str">
        <f>VLOOKUP(Belling[[#This Row],[patient_id]],Patient[#All],9,FALSE)</f>
        <v>MedCare Plus</v>
      </c>
      <c r="M165" t="str">
        <f t="shared" si="8"/>
        <v>Check Required</v>
      </c>
      <c r="N165" t="str">
        <f>VLOOKUP(E:E,Doctor[#All],4,0)</f>
        <v>Dermatology</v>
      </c>
      <c r="O165">
        <f t="shared" si="7"/>
        <v>0</v>
      </c>
      <c r="P165" s="15">
        <f>VLOOKUP(Belling[[#This Row],[patient_id]],Patient[#All],12,FALSE)</f>
        <v>2023</v>
      </c>
    </row>
    <row r="166" spans="1:16" x14ac:dyDescent="0.25">
      <c r="A166" t="s">
        <v>813</v>
      </c>
      <c r="B166" t="s">
        <v>543</v>
      </c>
      <c r="C166" t="s">
        <v>342</v>
      </c>
      <c r="D166" t="str">
        <f>VLOOKUP(C:C,Treatment[#All],2,0)</f>
        <v>A165</v>
      </c>
      <c r="E166" t="str">
        <f>VLOOKUP(D:D,Appointment[#All],3,0)</f>
        <v>D001</v>
      </c>
      <c r="F166" t="str">
        <f>VLOOKUP(Belling[[#This Row],[Docter_id]],Doctor[#All],2,FALSE)</f>
        <v>David</v>
      </c>
      <c r="G166" s="1">
        <f>VLOOKUP(Belling[[#This Row],[Appointment ID]],Appointment[#All],5,FALSE)</f>
        <v>45020</v>
      </c>
      <c r="H166" s="1">
        <v>45020</v>
      </c>
      <c r="I166">
        <v>4126.66</v>
      </c>
      <c r="J166" t="s">
        <v>655</v>
      </c>
      <c r="K166" t="s">
        <v>650</v>
      </c>
      <c r="L166" t="str">
        <f>VLOOKUP(Belling[[#This Row],[patient_id]],Patient[#All],9,FALSE)</f>
        <v>WellnessCorp</v>
      </c>
      <c r="M166" t="str">
        <f t="shared" si="8"/>
        <v>Check Required</v>
      </c>
      <c r="N166" t="str">
        <f>VLOOKUP(E:E,Doctor[#All],4,0)</f>
        <v>Dermatology</v>
      </c>
      <c r="O166">
        <f t="shared" si="7"/>
        <v>0</v>
      </c>
      <c r="P166" s="15">
        <f>VLOOKUP(Belling[[#This Row],[patient_id]],Patient[#All],12,FALSE)</f>
        <v>2022</v>
      </c>
    </row>
    <row r="167" spans="1:16" x14ac:dyDescent="0.25">
      <c r="A167" t="s">
        <v>814</v>
      </c>
      <c r="B167" t="s">
        <v>453</v>
      </c>
      <c r="C167" t="s">
        <v>344</v>
      </c>
      <c r="D167" t="str">
        <f>VLOOKUP(C:C,Treatment[#All],2,0)</f>
        <v>A166</v>
      </c>
      <c r="E167" t="str">
        <f>VLOOKUP(D:D,Appointment[#All],3,0)</f>
        <v>D010</v>
      </c>
      <c r="F167" t="str">
        <f>VLOOKUP(Belling[[#This Row],[Docter_id]],Doctor[#All],2,FALSE)</f>
        <v>Linda</v>
      </c>
      <c r="G167" s="1">
        <f>VLOOKUP(Belling[[#This Row],[Appointment ID]],Appointment[#All],5,FALSE)</f>
        <v>44938</v>
      </c>
      <c r="H167" s="1">
        <v>45261</v>
      </c>
      <c r="I167">
        <v>4055.14</v>
      </c>
      <c r="J167" t="s">
        <v>655</v>
      </c>
      <c r="K167" t="s">
        <v>650</v>
      </c>
      <c r="L167" t="str">
        <f>VLOOKUP(Belling[[#This Row],[patient_id]],Patient[#All],9,FALSE)</f>
        <v>MedCare Plus</v>
      </c>
      <c r="M167" t="str">
        <f t="shared" si="8"/>
        <v>Check Required</v>
      </c>
      <c r="N167" t="str">
        <f>VLOOKUP(E:E,Doctor[#All],4,0)</f>
        <v>Oncology</v>
      </c>
      <c r="O167">
        <f t="shared" si="7"/>
        <v>323</v>
      </c>
      <c r="P167" s="15">
        <f>VLOOKUP(Belling[[#This Row],[patient_id]],Patient[#All],12,FALSE)</f>
        <v>2021</v>
      </c>
    </row>
    <row r="168" spans="1:16" x14ac:dyDescent="0.25">
      <c r="A168" t="s">
        <v>815</v>
      </c>
      <c r="B168" t="s">
        <v>553</v>
      </c>
      <c r="C168" t="s">
        <v>346</v>
      </c>
      <c r="D168" t="str">
        <f>VLOOKUP(C:C,Treatment[#All],2,0)</f>
        <v>A167</v>
      </c>
      <c r="E168" t="str">
        <f>VLOOKUP(D:D,Appointment[#All],3,0)</f>
        <v>D001</v>
      </c>
      <c r="F168" t="str">
        <f>VLOOKUP(Belling[[#This Row],[Docter_id]],Doctor[#All],2,FALSE)</f>
        <v>David</v>
      </c>
      <c r="G168" s="1">
        <f>VLOOKUP(Belling[[#This Row],[Appointment ID]],Appointment[#All],5,FALSE)</f>
        <v>45245</v>
      </c>
      <c r="H168" s="1">
        <v>45245</v>
      </c>
      <c r="I168">
        <v>1871.06</v>
      </c>
      <c r="J168" t="s">
        <v>652</v>
      </c>
      <c r="K168" t="s">
        <v>645</v>
      </c>
      <c r="L168" t="str">
        <f>VLOOKUP(Belling[[#This Row],[patient_id]],Patient[#All],9,FALSE)</f>
        <v>MedCare Plus</v>
      </c>
      <c r="M168" t="str">
        <f t="shared" si="8"/>
        <v>Check Required</v>
      </c>
      <c r="N168" t="str">
        <f>VLOOKUP(E:E,Doctor[#All],4,0)</f>
        <v>Dermatology</v>
      </c>
      <c r="O168">
        <f t="shared" si="7"/>
        <v>0</v>
      </c>
      <c r="P168" s="15">
        <f>VLOOKUP(Belling[[#This Row],[patient_id]],Patient[#All],12,FALSE)</f>
        <v>2023</v>
      </c>
    </row>
    <row r="169" spans="1:16" x14ac:dyDescent="0.25">
      <c r="A169" t="s">
        <v>816</v>
      </c>
      <c r="B169" t="s">
        <v>518</v>
      </c>
      <c r="C169" t="s">
        <v>348</v>
      </c>
      <c r="D169" t="str">
        <f>VLOOKUP(C:C,Treatment[#All],2,0)</f>
        <v>A168</v>
      </c>
      <c r="E169" t="str">
        <f>VLOOKUP(D:D,Appointment[#All],3,0)</f>
        <v>D004</v>
      </c>
      <c r="F169" t="str">
        <f>VLOOKUP(Belling[[#This Row],[Docter_id]],Doctor[#All],2,FALSE)</f>
        <v>David</v>
      </c>
      <c r="G169" s="1">
        <f>VLOOKUP(Belling[[#This Row],[Appointment ID]],Appointment[#All],5,FALSE)</f>
        <v>45198</v>
      </c>
      <c r="H169" s="1">
        <v>45198</v>
      </c>
      <c r="I169">
        <v>864.14</v>
      </c>
      <c r="J169" t="s">
        <v>652</v>
      </c>
      <c r="K169" t="s">
        <v>650</v>
      </c>
      <c r="L169" t="str">
        <f>VLOOKUP(Belling[[#This Row],[patient_id]],Patient[#All],9,FALSE)</f>
        <v>WellnessCorp</v>
      </c>
      <c r="M169" t="str">
        <f t="shared" si="8"/>
        <v>Check Required</v>
      </c>
      <c r="N169" t="str">
        <f>VLOOKUP(E:E,Doctor[#All],4,0)</f>
        <v>Pediatrics</v>
      </c>
      <c r="O169">
        <f t="shared" si="7"/>
        <v>0</v>
      </c>
      <c r="P169" s="15">
        <f>VLOOKUP(Belling[[#This Row],[patient_id]],Patient[#All],12,FALSE)</f>
        <v>2021</v>
      </c>
    </row>
    <row r="170" spans="1:16" x14ac:dyDescent="0.25">
      <c r="A170" t="s">
        <v>817</v>
      </c>
      <c r="B170" t="s">
        <v>537</v>
      </c>
      <c r="C170" t="s">
        <v>350</v>
      </c>
      <c r="D170" t="str">
        <f>VLOOKUP(C:C,Treatment[#All],2,0)</f>
        <v>A169</v>
      </c>
      <c r="E170" t="str">
        <f>VLOOKUP(D:D,Appointment[#All],3,0)</f>
        <v>D008</v>
      </c>
      <c r="F170" t="str">
        <f>VLOOKUP(Belling[[#This Row],[Docter_id]],Doctor[#All],2,FALSE)</f>
        <v>Linda</v>
      </c>
      <c r="G170" s="1">
        <f>VLOOKUP(Belling[[#This Row],[Appointment ID]],Appointment[#All],5,FALSE)</f>
        <v>45131</v>
      </c>
      <c r="H170" s="1">
        <v>45131</v>
      </c>
      <c r="I170">
        <v>2313.41</v>
      </c>
      <c r="J170" t="s">
        <v>652</v>
      </c>
      <c r="K170" t="s">
        <v>645</v>
      </c>
      <c r="L170" t="str">
        <f>VLOOKUP(Belling[[#This Row],[patient_id]],Patient[#All],9,FALSE)</f>
        <v>HealthIndia</v>
      </c>
      <c r="M170" t="str">
        <f t="shared" si="8"/>
        <v>Check Required</v>
      </c>
      <c r="N170" t="str">
        <f>VLOOKUP(E:E,Doctor[#All],4,0)</f>
        <v>Dermatology</v>
      </c>
      <c r="O170">
        <f t="shared" si="7"/>
        <v>0</v>
      </c>
      <c r="P170" s="15">
        <f>VLOOKUP(Belling[[#This Row],[patient_id]],Patient[#All],12,FALSE)</f>
        <v>2023</v>
      </c>
    </row>
    <row r="171" spans="1:16" x14ac:dyDescent="0.25">
      <c r="A171" t="s">
        <v>818</v>
      </c>
      <c r="B171" t="s">
        <v>573</v>
      </c>
      <c r="C171" t="s">
        <v>352</v>
      </c>
      <c r="D171" t="str">
        <f>VLOOKUP(C:C,Treatment[#All],2,0)</f>
        <v>A170</v>
      </c>
      <c r="E171" t="str">
        <f>VLOOKUP(D:D,Appointment[#All],3,0)</f>
        <v>D005</v>
      </c>
      <c r="F171" t="str">
        <f>VLOOKUP(Belling[[#This Row],[Docter_id]],Doctor[#All],2,FALSE)</f>
        <v>Sarah</v>
      </c>
      <c r="G171" s="1">
        <f>VLOOKUP(Belling[[#This Row],[Appointment ID]],Appointment[#All],5,FALSE)</f>
        <v>44988</v>
      </c>
      <c r="H171" s="1">
        <v>44988</v>
      </c>
      <c r="I171">
        <v>1280.8599999999999</v>
      </c>
      <c r="J171" t="s">
        <v>655</v>
      </c>
      <c r="K171" t="s">
        <v>650</v>
      </c>
      <c r="L171" t="str">
        <f>VLOOKUP(Belling[[#This Row],[patient_id]],Patient[#All],9,FALSE)</f>
        <v>WellnessCorp</v>
      </c>
      <c r="M171" t="str">
        <f t="shared" si="8"/>
        <v>Check Required</v>
      </c>
      <c r="N171" t="str">
        <f>VLOOKUP(E:E,Doctor[#All],4,0)</f>
        <v>Dermatology</v>
      </c>
      <c r="O171">
        <f t="shared" si="7"/>
        <v>0</v>
      </c>
      <c r="P171" s="15">
        <f>VLOOKUP(Belling[[#This Row],[patient_id]],Patient[#All],12,FALSE)</f>
        <v>2022</v>
      </c>
    </row>
    <row r="172" spans="1:16" x14ac:dyDescent="0.25">
      <c r="A172" t="s">
        <v>819</v>
      </c>
      <c r="B172" t="s">
        <v>478</v>
      </c>
      <c r="C172" t="s">
        <v>354</v>
      </c>
      <c r="D172" t="str">
        <f>VLOOKUP(C:C,Treatment[#All],2,0)</f>
        <v>A171</v>
      </c>
      <c r="E172" t="str">
        <f>VLOOKUP(D:D,Appointment[#All],3,0)</f>
        <v>D002</v>
      </c>
      <c r="F172" t="str">
        <f>VLOOKUP(Belling[[#This Row],[Docter_id]],Doctor[#All],2,FALSE)</f>
        <v>Jane</v>
      </c>
      <c r="G172" s="1">
        <f>VLOOKUP(Belling[[#This Row],[Appointment ID]],Appointment[#All],5,FALSE)</f>
        <v>45034</v>
      </c>
      <c r="H172" s="1">
        <v>45034</v>
      </c>
      <c r="I172">
        <v>3627.28</v>
      </c>
      <c r="J172" t="s">
        <v>644</v>
      </c>
      <c r="K172" t="s">
        <v>650</v>
      </c>
      <c r="L172" t="str">
        <f>VLOOKUP(Belling[[#This Row],[patient_id]],Patient[#All],9,FALSE)</f>
        <v>MedCare Plus</v>
      </c>
      <c r="M172" t="str">
        <f t="shared" si="8"/>
        <v>Check Required</v>
      </c>
      <c r="N172" t="str">
        <f>VLOOKUP(E:E,Doctor[#All],4,0)</f>
        <v>Pediatrics</v>
      </c>
      <c r="O172">
        <f t="shared" si="7"/>
        <v>0</v>
      </c>
      <c r="P172" s="15">
        <f>VLOOKUP(Belling[[#This Row],[patient_id]],Patient[#All],12,FALSE)</f>
        <v>2022</v>
      </c>
    </row>
    <row r="173" spans="1:16" x14ac:dyDescent="0.25">
      <c r="A173" t="s">
        <v>820</v>
      </c>
      <c r="B173" t="s">
        <v>499</v>
      </c>
      <c r="C173" t="s">
        <v>356</v>
      </c>
      <c r="D173" t="str">
        <f>VLOOKUP(C:C,Treatment[#All],2,0)</f>
        <v>A172</v>
      </c>
      <c r="E173" t="str">
        <f>VLOOKUP(D:D,Appointment[#All],3,0)</f>
        <v>D006</v>
      </c>
      <c r="F173" t="str">
        <f>VLOOKUP(Belling[[#This Row],[Docter_id]],Doctor[#All],2,FALSE)</f>
        <v>Alex</v>
      </c>
      <c r="G173" s="1">
        <f>VLOOKUP(Belling[[#This Row],[Appointment ID]],Appointment[#All],5,FALSE)</f>
        <v>44994</v>
      </c>
      <c r="H173" s="1">
        <v>45172</v>
      </c>
      <c r="I173">
        <v>2057.4499999999998</v>
      </c>
      <c r="J173" t="s">
        <v>655</v>
      </c>
      <c r="K173" t="s">
        <v>647</v>
      </c>
      <c r="L173" t="str">
        <f>VLOOKUP(Belling[[#This Row],[patient_id]],Patient[#All],9,FALSE)</f>
        <v>PulseSecure</v>
      </c>
      <c r="M173" t="str">
        <f t="shared" si="8"/>
        <v>Clear</v>
      </c>
      <c r="N173" t="str">
        <f>VLOOKUP(E:E,Doctor[#All],4,0)</f>
        <v>Pediatrics</v>
      </c>
      <c r="O173">
        <f t="shared" si="7"/>
        <v>178</v>
      </c>
      <c r="P173" s="15">
        <f>VLOOKUP(Belling[[#This Row],[patient_id]],Patient[#All],12,FALSE)</f>
        <v>2022</v>
      </c>
    </row>
    <row r="174" spans="1:16" x14ac:dyDescent="0.25">
      <c r="A174" t="s">
        <v>821</v>
      </c>
      <c r="B174" t="s">
        <v>584</v>
      </c>
      <c r="C174" t="s">
        <v>358</v>
      </c>
      <c r="D174" t="str">
        <f>VLOOKUP(C:C,Treatment[#All],2,0)</f>
        <v>A173</v>
      </c>
      <c r="E174" t="str">
        <f>VLOOKUP(D:D,Appointment[#All],3,0)</f>
        <v>D005</v>
      </c>
      <c r="F174" t="str">
        <f>VLOOKUP(Belling[[#This Row],[Docter_id]],Doctor[#All],2,FALSE)</f>
        <v>Sarah</v>
      </c>
      <c r="G174" s="1">
        <f>VLOOKUP(Belling[[#This Row],[Appointment ID]],Appointment[#All],5,FALSE)</f>
        <v>45081</v>
      </c>
      <c r="H174" s="1">
        <v>45022</v>
      </c>
      <c r="I174">
        <v>4890.25</v>
      </c>
      <c r="J174" t="s">
        <v>644</v>
      </c>
      <c r="K174" t="s">
        <v>645</v>
      </c>
      <c r="L174" t="str">
        <f>VLOOKUP(Belling[[#This Row],[patient_id]],Patient[#All],9,FALSE)</f>
        <v>WellnessCorp</v>
      </c>
      <c r="M174" t="str">
        <f t="shared" si="8"/>
        <v>Check Required</v>
      </c>
      <c r="N174" t="str">
        <f>VLOOKUP(E:E,Doctor[#All],4,0)</f>
        <v>Dermatology</v>
      </c>
      <c r="O174">
        <f t="shared" si="7"/>
        <v>-59</v>
      </c>
      <c r="P174" s="15">
        <f>VLOOKUP(Belling[[#This Row],[patient_id]],Patient[#All],12,FALSE)</f>
        <v>2022</v>
      </c>
    </row>
    <row r="175" spans="1:16" x14ac:dyDescent="0.25">
      <c r="A175" t="s">
        <v>822</v>
      </c>
      <c r="B175" t="s">
        <v>481</v>
      </c>
      <c r="C175" t="s">
        <v>360</v>
      </c>
      <c r="D175" t="str">
        <f>VLOOKUP(C:C,Treatment[#All],2,0)</f>
        <v>A174</v>
      </c>
      <c r="E175" t="str">
        <f>VLOOKUP(D:D,Appointment[#All],3,0)</f>
        <v>D002</v>
      </c>
      <c r="F175" t="str">
        <f>VLOOKUP(Belling[[#This Row],[Docter_id]],Doctor[#All],2,FALSE)</f>
        <v>Jane</v>
      </c>
      <c r="G175" s="1">
        <f>VLOOKUP(Belling[[#This Row],[Appointment ID]],Appointment[#All],5,FALSE)</f>
        <v>45230</v>
      </c>
      <c r="H175" s="1">
        <v>45230</v>
      </c>
      <c r="I175">
        <v>3384.37</v>
      </c>
      <c r="J175" t="s">
        <v>655</v>
      </c>
      <c r="K175" t="s">
        <v>647</v>
      </c>
      <c r="L175" t="str">
        <f>VLOOKUP(Belling[[#This Row],[patient_id]],Patient[#All],9,FALSE)</f>
        <v>MedCare Plus</v>
      </c>
      <c r="M175" t="str">
        <f t="shared" si="8"/>
        <v>Clear</v>
      </c>
      <c r="N175" t="str">
        <f>VLOOKUP(E:E,Doctor[#All],4,0)</f>
        <v>Pediatrics</v>
      </c>
      <c r="O175">
        <f t="shared" si="7"/>
        <v>0</v>
      </c>
      <c r="P175" s="15">
        <f>VLOOKUP(Belling[[#This Row],[patient_id]],Patient[#All],12,FALSE)</f>
        <v>2023</v>
      </c>
    </row>
    <row r="176" spans="1:16" x14ac:dyDescent="0.25">
      <c r="A176" t="s">
        <v>823</v>
      </c>
      <c r="B176" t="s">
        <v>471</v>
      </c>
      <c r="C176" t="s">
        <v>362</v>
      </c>
      <c r="D176" t="str">
        <f>VLOOKUP(C:C,Treatment[#All],2,0)</f>
        <v>A175</v>
      </c>
      <c r="E176" t="str">
        <f>VLOOKUP(D:D,Appointment[#All],3,0)</f>
        <v>D003</v>
      </c>
      <c r="F176" t="str">
        <f>VLOOKUP(Belling[[#This Row],[Docter_id]],Doctor[#All],2,FALSE)</f>
        <v>Jane</v>
      </c>
      <c r="G176" s="1">
        <f>VLOOKUP(Belling[[#This Row],[Appointment ID]],Appointment[#All],5,FALSE)</f>
        <v>45221</v>
      </c>
      <c r="H176" s="1">
        <v>45221</v>
      </c>
      <c r="I176">
        <v>4201.16</v>
      </c>
      <c r="J176" t="s">
        <v>655</v>
      </c>
      <c r="K176" t="s">
        <v>647</v>
      </c>
      <c r="L176" t="str">
        <f>VLOOKUP(Belling[[#This Row],[patient_id]],Patient[#All],9,FALSE)</f>
        <v>PulseSecure</v>
      </c>
      <c r="M176" t="str">
        <f t="shared" si="8"/>
        <v>Clear</v>
      </c>
      <c r="N176" t="str">
        <f>VLOOKUP(E:E,Doctor[#All],4,0)</f>
        <v>Pediatrics</v>
      </c>
      <c r="O176">
        <f t="shared" si="7"/>
        <v>0</v>
      </c>
      <c r="P176" s="15">
        <f>VLOOKUP(Belling[[#This Row],[patient_id]],Patient[#All],12,FALSE)</f>
        <v>2022</v>
      </c>
    </row>
    <row r="177" spans="1:16" x14ac:dyDescent="0.25">
      <c r="A177" t="s">
        <v>824</v>
      </c>
      <c r="B177" t="s">
        <v>474</v>
      </c>
      <c r="C177" t="s">
        <v>364</v>
      </c>
      <c r="D177" t="str">
        <f>VLOOKUP(C:C,Treatment[#All],2,0)</f>
        <v>A176</v>
      </c>
      <c r="E177" t="str">
        <f>VLOOKUP(D:D,Appointment[#All],3,0)</f>
        <v>D009</v>
      </c>
      <c r="F177" t="str">
        <f>VLOOKUP(Belling[[#This Row],[Docter_id]],Doctor[#All],2,FALSE)</f>
        <v>Sarah</v>
      </c>
      <c r="G177" s="1">
        <f>VLOOKUP(Belling[[#This Row],[Appointment ID]],Appointment[#All],5,FALSE)</f>
        <v>45042</v>
      </c>
      <c r="H177" s="1">
        <v>45042</v>
      </c>
      <c r="I177">
        <v>1096.3599999999999</v>
      </c>
      <c r="J177" t="s">
        <v>652</v>
      </c>
      <c r="K177" t="s">
        <v>647</v>
      </c>
      <c r="L177" t="str">
        <f>VLOOKUP(Belling[[#This Row],[patient_id]],Patient[#All],9,FALSE)</f>
        <v>WellnessCorp</v>
      </c>
      <c r="M177" t="str">
        <f t="shared" si="8"/>
        <v>Clear</v>
      </c>
      <c r="N177" t="str">
        <f>VLOOKUP(E:E,Doctor[#All],4,0)</f>
        <v>Pediatrics</v>
      </c>
      <c r="O177">
        <f t="shared" si="7"/>
        <v>0</v>
      </c>
      <c r="P177" s="15">
        <f>VLOOKUP(Belling[[#This Row],[patient_id]],Patient[#All],12,FALSE)</f>
        <v>2022</v>
      </c>
    </row>
    <row r="178" spans="1:16" x14ac:dyDescent="0.25">
      <c r="A178" t="s">
        <v>825</v>
      </c>
      <c r="B178" t="s">
        <v>576</v>
      </c>
      <c r="C178" t="s">
        <v>366</v>
      </c>
      <c r="D178" t="str">
        <f>VLOOKUP(C:C,Treatment[#All],2,0)</f>
        <v>A177</v>
      </c>
      <c r="E178" t="str">
        <f>VLOOKUP(D:D,Appointment[#All],3,0)</f>
        <v>D007</v>
      </c>
      <c r="F178" t="str">
        <f>VLOOKUP(Belling[[#This Row],[Docter_id]],Doctor[#All],2,FALSE)</f>
        <v>Robert</v>
      </c>
      <c r="G178" s="1">
        <f>VLOOKUP(Belling[[#This Row],[Appointment ID]],Appointment[#All],5,FALSE)</f>
        <v>45154</v>
      </c>
      <c r="H178" s="1">
        <v>45154</v>
      </c>
      <c r="I178">
        <v>4379.07</v>
      </c>
      <c r="J178" t="s">
        <v>644</v>
      </c>
      <c r="K178" t="s">
        <v>645</v>
      </c>
      <c r="L178" t="str">
        <f>VLOOKUP(Belling[[#This Row],[patient_id]],Patient[#All],9,FALSE)</f>
        <v>PulseSecure</v>
      </c>
      <c r="M178" t="str">
        <f t="shared" si="8"/>
        <v>Check Required</v>
      </c>
      <c r="N178" t="str">
        <f>VLOOKUP(E:E,Doctor[#All],4,0)</f>
        <v>Oncology</v>
      </c>
      <c r="O178">
        <f t="shared" si="7"/>
        <v>0</v>
      </c>
      <c r="P178" s="15">
        <f>VLOOKUP(Belling[[#This Row],[patient_id]],Patient[#All],12,FALSE)</f>
        <v>2023</v>
      </c>
    </row>
    <row r="179" spans="1:16" x14ac:dyDescent="0.25">
      <c r="A179" t="s">
        <v>826</v>
      </c>
      <c r="B179" t="s">
        <v>495</v>
      </c>
      <c r="C179" t="s">
        <v>368</v>
      </c>
      <c r="D179" t="str">
        <f>VLOOKUP(C:C,Treatment[#All],2,0)</f>
        <v>A178</v>
      </c>
      <c r="E179" t="str">
        <f>VLOOKUP(D:D,Appointment[#All],3,0)</f>
        <v>D007</v>
      </c>
      <c r="F179" t="str">
        <f>VLOOKUP(Belling[[#This Row],[Docter_id]],Doctor[#All],2,FALSE)</f>
        <v>Robert</v>
      </c>
      <c r="G179" s="1">
        <f>VLOOKUP(Belling[[#This Row],[Appointment ID]],Appointment[#All],5,FALSE)</f>
        <v>44943</v>
      </c>
      <c r="H179" s="1">
        <v>44943</v>
      </c>
      <c r="I179">
        <v>4652.41</v>
      </c>
      <c r="J179" t="s">
        <v>655</v>
      </c>
      <c r="K179" t="s">
        <v>645</v>
      </c>
      <c r="L179" t="str">
        <f>VLOOKUP(Belling[[#This Row],[patient_id]],Patient[#All],9,FALSE)</f>
        <v>WellnessCorp</v>
      </c>
      <c r="M179" t="str">
        <f t="shared" si="8"/>
        <v>Check Required</v>
      </c>
      <c r="N179" t="str">
        <f>VLOOKUP(E:E,Doctor[#All],4,0)</f>
        <v>Oncology</v>
      </c>
      <c r="O179">
        <f t="shared" si="7"/>
        <v>0</v>
      </c>
      <c r="P179" s="15">
        <f>VLOOKUP(Belling[[#This Row],[patient_id]],Patient[#All],12,FALSE)</f>
        <v>2022</v>
      </c>
    </row>
    <row r="180" spans="1:16" x14ac:dyDescent="0.25">
      <c r="A180" t="s">
        <v>827</v>
      </c>
      <c r="B180" t="s">
        <v>560</v>
      </c>
      <c r="C180" t="s">
        <v>370</v>
      </c>
      <c r="D180" t="str">
        <f>VLOOKUP(C:C,Treatment[#All],2,0)</f>
        <v>A179</v>
      </c>
      <c r="E180" t="str">
        <f>VLOOKUP(D:D,Appointment[#All],3,0)</f>
        <v>D006</v>
      </c>
      <c r="F180" t="str">
        <f>VLOOKUP(Belling[[#This Row],[Docter_id]],Doctor[#All],2,FALSE)</f>
        <v>Alex</v>
      </c>
      <c r="G180" s="1">
        <f>VLOOKUP(Belling[[#This Row],[Appointment ID]],Appointment[#All],5,FALSE)</f>
        <v>44993</v>
      </c>
      <c r="H180" s="1">
        <v>45141</v>
      </c>
      <c r="I180">
        <v>2691.78</v>
      </c>
      <c r="J180" t="s">
        <v>655</v>
      </c>
      <c r="K180" t="s">
        <v>650</v>
      </c>
      <c r="L180" t="str">
        <f>VLOOKUP(Belling[[#This Row],[patient_id]],Patient[#All],9,FALSE)</f>
        <v>MedCare Plus</v>
      </c>
      <c r="M180" t="str">
        <f t="shared" si="8"/>
        <v>Check Required</v>
      </c>
      <c r="N180" t="str">
        <f>VLOOKUP(E:E,Doctor[#All],4,0)</f>
        <v>Pediatrics</v>
      </c>
      <c r="O180">
        <f t="shared" si="7"/>
        <v>148</v>
      </c>
      <c r="P180" s="15">
        <f>VLOOKUP(Belling[[#This Row],[patient_id]],Patient[#All],12,FALSE)</f>
        <v>2021</v>
      </c>
    </row>
    <row r="181" spans="1:16" x14ac:dyDescent="0.25">
      <c r="A181" t="s">
        <v>828</v>
      </c>
      <c r="B181" t="s">
        <v>462</v>
      </c>
      <c r="C181" t="s">
        <v>372</v>
      </c>
      <c r="D181" t="str">
        <f>VLOOKUP(C:C,Treatment[#All],2,0)</f>
        <v>A180</v>
      </c>
      <c r="E181" t="str">
        <f>VLOOKUP(D:D,Appointment[#All],3,0)</f>
        <v>D008</v>
      </c>
      <c r="F181" t="str">
        <f>VLOOKUP(Belling[[#This Row],[Docter_id]],Doctor[#All],2,FALSE)</f>
        <v>Linda</v>
      </c>
      <c r="G181" s="1">
        <f>VLOOKUP(Belling[[#This Row],[Appointment ID]],Appointment[#All],5,FALSE)</f>
        <v>44933</v>
      </c>
      <c r="H181" s="1">
        <v>45108</v>
      </c>
      <c r="I181">
        <v>3228.14</v>
      </c>
      <c r="J181" t="s">
        <v>652</v>
      </c>
      <c r="K181" t="s">
        <v>647</v>
      </c>
      <c r="L181" t="str">
        <f>VLOOKUP(Belling[[#This Row],[patient_id]],Patient[#All],9,FALSE)</f>
        <v>MedCare Plus</v>
      </c>
      <c r="M181" t="str">
        <f t="shared" si="8"/>
        <v>Clear</v>
      </c>
      <c r="N181" t="str">
        <f>VLOOKUP(E:E,Doctor[#All],4,0)</f>
        <v>Dermatology</v>
      </c>
      <c r="O181">
        <f t="shared" si="7"/>
        <v>175</v>
      </c>
      <c r="P181" s="15">
        <f>VLOOKUP(Belling[[#This Row],[patient_id]],Patient[#All],12,FALSE)</f>
        <v>2021</v>
      </c>
    </row>
    <row r="182" spans="1:16" x14ac:dyDescent="0.25">
      <c r="A182" t="s">
        <v>829</v>
      </c>
      <c r="B182" t="s">
        <v>582</v>
      </c>
      <c r="C182" t="s">
        <v>374</v>
      </c>
      <c r="D182" t="str">
        <f>VLOOKUP(C:C,Treatment[#All],2,0)</f>
        <v>A181</v>
      </c>
      <c r="E182" t="str">
        <f>VLOOKUP(D:D,Appointment[#All],3,0)</f>
        <v>D004</v>
      </c>
      <c r="F182" t="str">
        <f>VLOOKUP(Belling[[#This Row],[Docter_id]],Doctor[#All],2,FALSE)</f>
        <v>David</v>
      </c>
      <c r="G182" s="1">
        <f>VLOOKUP(Belling[[#This Row],[Appointment ID]],Appointment[#All],5,FALSE)</f>
        <v>45172</v>
      </c>
      <c r="H182" s="1">
        <v>44994</v>
      </c>
      <c r="I182">
        <v>3941.64</v>
      </c>
      <c r="J182" t="s">
        <v>652</v>
      </c>
      <c r="K182" t="s">
        <v>650</v>
      </c>
      <c r="L182" t="str">
        <f>VLOOKUP(Belling[[#This Row],[patient_id]],Patient[#All],9,FALSE)</f>
        <v>MedCare Plus</v>
      </c>
      <c r="M182" t="str">
        <f t="shared" si="8"/>
        <v>Check Required</v>
      </c>
      <c r="N182" t="str">
        <f>VLOOKUP(E:E,Doctor[#All],4,0)</f>
        <v>Pediatrics</v>
      </c>
      <c r="O182">
        <f t="shared" si="7"/>
        <v>-178</v>
      </c>
      <c r="P182" s="15">
        <f>VLOOKUP(Belling[[#This Row],[patient_id]],Patient[#All],12,FALSE)</f>
        <v>2021</v>
      </c>
    </row>
    <row r="183" spans="1:16" x14ac:dyDescent="0.25">
      <c r="A183" t="s">
        <v>830</v>
      </c>
      <c r="B183" t="s">
        <v>483</v>
      </c>
      <c r="C183" t="s">
        <v>376</v>
      </c>
      <c r="D183" t="str">
        <f>VLOOKUP(C:C,Treatment[#All],2,0)</f>
        <v>A182</v>
      </c>
      <c r="E183" t="str">
        <f>VLOOKUP(D:D,Appointment[#All],3,0)</f>
        <v>D008</v>
      </c>
      <c r="F183" t="str">
        <f>VLOOKUP(Belling[[#This Row],[Docter_id]],Doctor[#All],2,FALSE)</f>
        <v>Linda</v>
      </c>
      <c r="G183" s="1">
        <f>VLOOKUP(Belling[[#This Row],[Appointment ID]],Appointment[#All],5,FALSE)</f>
        <v>45028</v>
      </c>
      <c r="H183" s="1">
        <v>45264</v>
      </c>
      <c r="I183">
        <v>1286.77</v>
      </c>
      <c r="J183" t="s">
        <v>644</v>
      </c>
      <c r="K183" t="s">
        <v>647</v>
      </c>
      <c r="L183" t="str">
        <f>VLOOKUP(Belling[[#This Row],[patient_id]],Patient[#All],9,FALSE)</f>
        <v>WellnessCorp</v>
      </c>
      <c r="M183" t="str">
        <f t="shared" si="8"/>
        <v>Clear</v>
      </c>
      <c r="N183" t="str">
        <f>VLOOKUP(E:E,Doctor[#All],4,0)</f>
        <v>Dermatology</v>
      </c>
      <c r="O183">
        <f t="shared" si="7"/>
        <v>236</v>
      </c>
      <c r="P183" s="15">
        <f>VLOOKUP(Belling[[#This Row],[patient_id]],Patient[#All],12,FALSE)</f>
        <v>2021</v>
      </c>
    </row>
    <row r="184" spans="1:16" x14ac:dyDescent="0.25">
      <c r="A184" t="s">
        <v>831</v>
      </c>
      <c r="B184" t="s">
        <v>565</v>
      </c>
      <c r="C184" t="s">
        <v>378</v>
      </c>
      <c r="D184" t="str">
        <f>VLOOKUP(C:C,Treatment[#All],2,0)</f>
        <v>A183</v>
      </c>
      <c r="E184" t="str">
        <f>VLOOKUP(D:D,Appointment[#All],3,0)</f>
        <v>D004</v>
      </c>
      <c r="F184" t="str">
        <f>VLOOKUP(Belling[[#This Row],[Docter_id]],Doctor[#All],2,FALSE)</f>
        <v>David</v>
      </c>
      <c r="G184" s="1">
        <f>VLOOKUP(Belling[[#This Row],[Appointment ID]],Appointment[#All],5,FALSE)</f>
        <v>44960</v>
      </c>
      <c r="H184" s="1">
        <v>44987</v>
      </c>
      <c r="I184">
        <v>2761.55</v>
      </c>
      <c r="J184" t="s">
        <v>655</v>
      </c>
      <c r="K184" t="s">
        <v>645</v>
      </c>
      <c r="L184" t="str">
        <f>VLOOKUP(Belling[[#This Row],[patient_id]],Patient[#All],9,FALSE)</f>
        <v>PulseSecure</v>
      </c>
      <c r="M184" t="str">
        <f t="shared" si="8"/>
        <v>Check Required</v>
      </c>
      <c r="N184" t="str">
        <f>VLOOKUP(E:E,Doctor[#All],4,0)</f>
        <v>Pediatrics</v>
      </c>
      <c r="O184">
        <f t="shared" si="7"/>
        <v>27</v>
      </c>
      <c r="P184" s="15">
        <f>VLOOKUP(Belling[[#This Row],[patient_id]],Patient[#All],12,FALSE)</f>
        <v>2021</v>
      </c>
    </row>
    <row r="185" spans="1:16" x14ac:dyDescent="0.25">
      <c r="A185" t="s">
        <v>832</v>
      </c>
      <c r="B185" t="s">
        <v>570</v>
      </c>
      <c r="C185" t="s">
        <v>380</v>
      </c>
      <c r="D185" t="str">
        <f>VLOOKUP(C:C,Treatment[#All],2,0)</f>
        <v>A184</v>
      </c>
      <c r="E185" t="str">
        <f>VLOOKUP(D:D,Appointment[#All],3,0)</f>
        <v>D008</v>
      </c>
      <c r="F185" t="str">
        <f>VLOOKUP(Belling[[#This Row],[Docter_id]],Doctor[#All],2,FALSE)</f>
        <v>Linda</v>
      </c>
      <c r="G185" s="1">
        <f>VLOOKUP(Belling[[#This Row],[Appointment ID]],Appointment[#All],5,FALSE)</f>
        <v>44983</v>
      </c>
      <c r="H185" s="1">
        <v>44983</v>
      </c>
      <c r="I185">
        <v>2293.98</v>
      </c>
      <c r="J185" t="s">
        <v>644</v>
      </c>
      <c r="K185" t="s">
        <v>645</v>
      </c>
      <c r="L185" t="str">
        <f>VLOOKUP(Belling[[#This Row],[patient_id]],Patient[#All],9,FALSE)</f>
        <v>MedCare Plus</v>
      </c>
      <c r="M185" t="str">
        <f t="shared" si="8"/>
        <v>Check Required</v>
      </c>
      <c r="N185" t="str">
        <f>VLOOKUP(E:E,Doctor[#All],4,0)</f>
        <v>Dermatology</v>
      </c>
      <c r="O185">
        <f t="shared" si="7"/>
        <v>0</v>
      </c>
      <c r="P185" s="15">
        <f>VLOOKUP(Belling[[#This Row],[patient_id]],Patient[#All],12,FALSE)</f>
        <v>2022</v>
      </c>
    </row>
    <row r="186" spans="1:16" x14ac:dyDescent="0.25">
      <c r="A186" t="s">
        <v>833</v>
      </c>
      <c r="B186" t="s">
        <v>471</v>
      </c>
      <c r="C186" t="s">
        <v>382</v>
      </c>
      <c r="D186" t="str">
        <f>VLOOKUP(C:C,Treatment[#All],2,0)</f>
        <v>A185</v>
      </c>
      <c r="E186" t="str">
        <f>VLOOKUP(D:D,Appointment[#All],3,0)</f>
        <v>D009</v>
      </c>
      <c r="F186" t="str">
        <f>VLOOKUP(Belling[[#This Row],[Docter_id]],Doctor[#All],2,FALSE)</f>
        <v>Sarah</v>
      </c>
      <c r="G186" s="1">
        <f>VLOOKUP(Belling[[#This Row],[Appointment ID]],Appointment[#All],5,FALSE)</f>
        <v>45006</v>
      </c>
      <c r="H186" s="1">
        <v>45006</v>
      </c>
      <c r="I186">
        <v>1158.68</v>
      </c>
      <c r="J186" t="s">
        <v>655</v>
      </c>
      <c r="K186" t="s">
        <v>645</v>
      </c>
      <c r="L186" t="str">
        <f>VLOOKUP(Belling[[#This Row],[patient_id]],Patient[#All],9,FALSE)</f>
        <v>PulseSecure</v>
      </c>
      <c r="M186" t="str">
        <f t="shared" si="8"/>
        <v>Check Required</v>
      </c>
      <c r="N186" t="str">
        <f>VLOOKUP(E:E,Doctor[#All],4,0)</f>
        <v>Pediatrics</v>
      </c>
      <c r="O186">
        <f t="shared" si="7"/>
        <v>0</v>
      </c>
      <c r="P186" s="15">
        <f>VLOOKUP(Belling[[#This Row],[patient_id]],Patient[#All],12,FALSE)</f>
        <v>2022</v>
      </c>
    </row>
    <row r="187" spans="1:16" x14ac:dyDescent="0.25">
      <c r="A187" t="s">
        <v>834</v>
      </c>
      <c r="B187" t="s">
        <v>592</v>
      </c>
      <c r="C187" t="s">
        <v>384</v>
      </c>
      <c r="D187" t="str">
        <f>VLOOKUP(C:C,Treatment[#All],2,0)</f>
        <v>A186</v>
      </c>
      <c r="E187" t="str">
        <f>VLOOKUP(D:D,Appointment[#All],3,0)</f>
        <v>D003</v>
      </c>
      <c r="F187" t="str">
        <f>VLOOKUP(Belling[[#This Row],[Docter_id]],Doctor[#All],2,FALSE)</f>
        <v>Jane</v>
      </c>
      <c r="G187" s="1">
        <f>VLOOKUP(Belling[[#This Row],[Appointment ID]],Appointment[#All],5,FALSE)</f>
        <v>45012</v>
      </c>
      <c r="H187" s="1">
        <v>45012</v>
      </c>
      <c r="I187">
        <v>2153.9</v>
      </c>
      <c r="J187" t="s">
        <v>644</v>
      </c>
      <c r="K187" t="s">
        <v>647</v>
      </c>
      <c r="L187" t="str">
        <f>VLOOKUP(Belling[[#This Row],[patient_id]],Patient[#All],9,FALSE)</f>
        <v>WellnessCorp</v>
      </c>
      <c r="M187" t="str">
        <f t="shared" si="8"/>
        <v>Clear</v>
      </c>
      <c r="N187" t="str">
        <f>VLOOKUP(E:E,Doctor[#All],4,0)</f>
        <v>Pediatrics</v>
      </c>
      <c r="O187">
        <f t="shared" si="7"/>
        <v>0</v>
      </c>
      <c r="P187" s="15">
        <f>VLOOKUP(Belling[[#This Row],[patient_id]],Patient[#All],12,FALSE)</f>
        <v>2023</v>
      </c>
    </row>
    <row r="188" spans="1:16" x14ac:dyDescent="0.25">
      <c r="A188" t="s">
        <v>835</v>
      </c>
      <c r="B188" t="s">
        <v>531</v>
      </c>
      <c r="C188" t="s">
        <v>386</v>
      </c>
      <c r="D188" t="str">
        <f>VLOOKUP(C:C,Treatment[#All],2,0)</f>
        <v>A187</v>
      </c>
      <c r="E188" t="str">
        <f>VLOOKUP(D:D,Appointment[#All],3,0)</f>
        <v>D003</v>
      </c>
      <c r="F188" t="str">
        <f>VLOOKUP(Belling[[#This Row],[Docter_id]],Doctor[#All],2,FALSE)</f>
        <v>Jane</v>
      </c>
      <c r="G188" s="1">
        <f>VLOOKUP(Belling[[#This Row],[Appointment ID]],Appointment[#All],5,FALSE)</f>
        <v>44970</v>
      </c>
      <c r="H188" s="1">
        <v>44970</v>
      </c>
      <c r="I188">
        <v>806.78</v>
      </c>
      <c r="J188" t="s">
        <v>652</v>
      </c>
      <c r="K188" t="s">
        <v>645</v>
      </c>
      <c r="L188" t="str">
        <f>VLOOKUP(Belling[[#This Row],[patient_id]],Patient[#All],9,FALSE)</f>
        <v>HealthIndia</v>
      </c>
      <c r="M188" t="str">
        <f t="shared" si="8"/>
        <v>Check Required</v>
      </c>
      <c r="N188" t="str">
        <f>VLOOKUP(E:E,Doctor[#All],4,0)</f>
        <v>Pediatrics</v>
      </c>
      <c r="O188">
        <f t="shared" si="7"/>
        <v>0</v>
      </c>
      <c r="P188" s="15">
        <f>VLOOKUP(Belling[[#This Row],[patient_id]],Patient[#All],12,FALSE)</f>
        <v>2021</v>
      </c>
    </row>
    <row r="189" spans="1:16" x14ac:dyDescent="0.25">
      <c r="A189" t="s">
        <v>836</v>
      </c>
      <c r="B189" t="s">
        <v>433</v>
      </c>
      <c r="C189" t="s">
        <v>388</v>
      </c>
      <c r="D189" t="str">
        <f>VLOOKUP(C:C,Treatment[#All],2,0)</f>
        <v>A188</v>
      </c>
      <c r="E189" t="str">
        <f>VLOOKUP(D:D,Appointment[#All],3,0)</f>
        <v>D002</v>
      </c>
      <c r="F189" t="str">
        <f>VLOOKUP(Belling[[#This Row],[Docter_id]],Doctor[#All],2,FALSE)</f>
        <v>Jane</v>
      </c>
      <c r="G189" s="1">
        <f>VLOOKUP(Belling[[#This Row],[Appointment ID]],Appointment[#All],5,FALSE)</f>
        <v>45028</v>
      </c>
      <c r="H189" s="1">
        <v>45264</v>
      </c>
      <c r="I189">
        <v>616.15</v>
      </c>
      <c r="J189" t="s">
        <v>655</v>
      </c>
      <c r="K189" t="s">
        <v>647</v>
      </c>
      <c r="L189" t="str">
        <f>VLOOKUP(Belling[[#This Row],[patient_id]],Patient[#All],9,FALSE)</f>
        <v>PulseSecure</v>
      </c>
      <c r="M189" t="str">
        <f t="shared" si="8"/>
        <v>Clear</v>
      </c>
      <c r="N189" t="str">
        <f>VLOOKUP(E:E,Doctor[#All],4,0)</f>
        <v>Pediatrics</v>
      </c>
      <c r="O189">
        <f t="shared" si="7"/>
        <v>236</v>
      </c>
      <c r="P189" s="15">
        <f>VLOOKUP(Belling[[#This Row],[patient_id]],Patient[#All],12,FALSE)</f>
        <v>2022</v>
      </c>
    </row>
    <row r="190" spans="1:16" x14ac:dyDescent="0.25">
      <c r="A190" t="s">
        <v>837</v>
      </c>
      <c r="B190" t="s">
        <v>453</v>
      </c>
      <c r="C190" t="s">
        <v>390</v>
      </c>
      <c r="D190" t="str">
        <f>VLOOKUP(C:C,Treatment[#All],2,0)</f>
        <v>A189</v>
      </c>
      <c r="E190" t="str">
        <f>VLOOKUP(D:D,Appointment[#All],3,0)</f>
        <v>D010</v>
      </c>
      <c r="F190" t="str">
        <f>VLOOKUP(Belling[[#This Row],[Docter_id]],Doctor[#All],2,FALSE)</f>
        <v>Linda</v>
      </c>
      <c r="G190" s="1">
        <f>VLOOKUP(Belling[[#This Row],[Appointment ID]],Appointment[#All],5,FALSE)</f>
        <v>45204</v>
      </c>
      <c r="H190" s="1">
        <v>45056</v>
      </c>
      <c r="I190">
        <v>1108.25</v>
      </c>
      <c r="J190" t="s">
        <v>644</v>
      </c>
      <c r="K190" t="s">
        <v>650</v>
      </c>
      <c r="L190" t="str">
        <f>VLOOKUP(Belling[[#This Row],[patient_id]],Patient[#All],9,FALSE)</f>
        <v>MedCare Plus</v>
      </c>
      <c r="M190" t="str">
        <f t="shared" si="8"/>
        <v>Check Required</v>
      </c>
      <c r="N190" t="str">
        <f>VLOOKUP(E:E,Doctor[#All],4,0)</f>
        <v>Oncology</v>
      </c>
      <c r="O190">
        <f t="shared" si="7"/>
        <v>-148</v>
      </c>
      <c r="P190" s="15">
        <f>VLOOKUP(Belling[[#This Row],[patient_id]],Patient[#All],12,FALSE)</f>
        <v>2021</v>
      </c>
    </row>
    <row r="191" spans="1:16" x14ac:dyDescent="0.25">
      <c r="A191" t="s">
        <v>838</v>
      </c>
      <c r="B191" t="s">
        <v>537</v>
      </c>
      <c r="C191" t="s">
        <v>392</v>
      </c>
      <c r="D191" t="str">
        <f>VLOOKUP(C:C,Treatment[#All],2,0)</f>
        <v>A190</v>
      </c>
      <c r="E191" t="str">
        <f>VLOOKUP(D:D,Appointment[#All],3,0)</f>
        <v>D003</v>
      </c>
      <c r="F191" t="str">
        <f>VLOOKUP(Belling[[#This Row],[Docter_id]],Doctor[#All],2,FALSE)</f>
        <v>Jane</v>
      </c>
      <c r="G191" s="1">
        <f>VLOOKUP(Belling[[#This Row],[Appointment ID]],Appointment[#All],5,FALSE)</f>
        <v>45246</v>
      </c>
      <c r="H191" s="1">
        <v>45246</v>
      </c>
      <c r="I191">
        <v>4834.0200000000004</v>
      </c>
      <c r="J191" t="s">
        <v>652</v>
      </c>
      <c r="K191" t="s">
        <v>647</v>
      </c>
      <c r="L191" t="str">
        <f>VLOOKUP(Belling[[#This Row],[patient_id]],Patient[#All],9,FALSE)</f>
        <v>HealthIndia</v>
      </c>
      <c r="M191" t="str">
        <f t="shared" si="8"/>
        <v>Clear</v>
      </c>
      <c r="N191" t="str">
        <f>VLOOKUP(E:E,Doctor[#All],4,0)</f>
        <v>Pediatrics</v>
      </c>
      <c r="O191">
        <f t="shared" si="7"/>
        <v>0</v>
      </c>
      <c r="P191" s="15">
        <f>VLOOKUP(Belling[[#This Row],[patient_id]],Patient[#All],12,FALSE)</f>
        <v>2023</v>
      </c>
    </row>
    <row r="192" spans="1:16" x14ac:dyDescent="0.25">
      <c r="A192" t="s">
        <v>839</v>
      </c>
      <c r="B192" t="s">
        <v>557</v>
      </c>
      <c r="C192" t="s">
        <v>394</v>
      </c>
      <c r="D192" t="str">
        <f>VLOOKUP(C:C,Treatment[#All],2,0)</f>
        <v>A191</v>
      </c>
      <c r="E192" t="str">
        <f>VLOOKUP(D:D,Appointment[#All],3,0)</f>
        <v>D003</v>
      </c>
      <c r="F192" t="str">
        <f>VLOOKUP(Belling[[#This Row],[Docter_id]],Doctor[#All],2,FALSE)</f>
        <v>Jane</v>
      </c>
      <c r="G192" s="1">
        <f>VLOOKUP(Belling[[#This Row],[Appointment ID]],Appointment[#All],5,FALSE)</f>
        <v>45028</v>
      </c>
      <c r="H192" s="1">
        <v>45264</v>
      </c>
      <c r="I192">
        <v>2972.88</v>
      </c>
      <c r="J192" t="s">
        <v>652</v>
      </c>
      <c r="K192" t="s">
        <v>650</v>
      </c>
      <c r="L192" t="str">
        <f>VLOOKUP(Belling[[#This Row],[patient_id]],Patient[#All],9,FALSE)</f>
        <v>HealthIndia</v>
      </c>
      <c r="M192" t="str">
        <f t="shared" si="8"/>
        <v>Check Required</v>
      </c>
      <c r="N192" t="str">
        <f>VLOOKUP(E:E,Doctor[#All],4,0)</f>
        <v>Pediatrics</v>
      </c>
      <c r="O192">
        <f t="shared" si="7"/>
        <v>236</v>
      </c>
      <c r="P192" s="15">
        <f>VLOOKUP(Belling[[#This Row],[patient_id]],Patient[#All],12,FALSE)</f>
        <v>2021</v>
      </c>
    </row>
    <row r="193" spans="1:16" x14ac:dyDescent="0.25">
      <c r="A193" t="s">
        <v>840</v>
      </c>
      <c r="B193" t="s">
        <v>560</v>
      </c>
      <c r="C193" t="s">
        <v>396</v>
      </c>
      <c r="D193" t="str">
        <f>VLOOKUP(C:C,Treatment[#All],2,0)</f>
        <v>A192</v>
      </c>
      <c r="E193" t="str">
        <f>VLOOKUP(D:D,Appointment[#All],3,0)</f>
        <v>D005</v>
      </c>
      <c r="F193" t="str">
        <f>VLOOKUP(Belling[[#This Row],[Docter_id]],Doctor[#All],2,FALSE)</f>
        <v>Sarah</v>
      </c>
      <c r="G193" s="1">
        <f>VLOOKUP(Belling[[#This Row],[Appointment ID]],Appointment[#All],5,FALSE)</f>
        <v>45169</v>
      </c>
      <c r="H193" s="1">
        <v>45169</v>
      </c>
      <c r="I193">
        <v>4846.2</v>
      </c>
      <c r="J193" t="s">
        <v>644</v>
      </c>
      <c r="K193" t="s">
        <v>647</v>
      </c>
      <c r="L193" t="str">
        <f>VLOOKUP(Belling[[#This Row],[patient_id]],Patient[#All],9,FALSE)</f>
        <v>MedCare Plus</v>
      </c>
      <c r="M193" t="str">
        <f t="shared" si="8"/>
        <v>Clear</v>
      </c>
      <c r="N193" t="str">
        <f>VLOOKUP(E:E,Doctor[#All],4,0)</f>
        <v>Dermatology</v>
      </c>
      <c r="O193">
        <f t="shared" si="7"/>
        <v>0</v>
      </c>
      <c r="P193" s="15">
        <f>VLOOKUP(Belling[[#This Row],[patient_id]],Patient[#All],12,FALSE)</f>
        <v>2021</v>
      </c>
    </row>
    <row r="194" spans="1:16" x14ac:dyDescent="0.25">
      <c r="A194" t="s">
        <v>841</v>
      </c>
      <c r="B194" t="s">
        <v>502</v>
      </c>
      <c r="C194" t="s">
        <v>398</v>
      </c>
      <c r="D194" t="str">
        <f>VLOOKUP(C:C,Treatment[#All],2,0)</f>
        <v>A193</v>
      </c>
      <c r="E194" t="str">
        <f>VLOOKUP(D:D,Appointment[#All],3,0)</f>
        <v>D005</v>
      </c>
      <c r="F194" t="str">
        <f>VLOOKUP(Belling[[#This Row],[Docter_id]],Doctor[#All],2,FALSE)</f>
        <v>Sarah</v>
      </c>
      <c r="G194" s="1">
        <f>VLOOKUP(Belling[[#This Row],[Appointment ID]],Appointment[#All],5,FALSE)</f>
        <v>45184</v>
      </c>
      <c r="H194" s="1">
        <v>45184</v>
      </c>
      <c r="I194">
        <v>2446.2399999999998</v>
      </c>
      <c r="J194" t="s">
        <v>655</v>
      </c>
      <c r="K194" t="s">
        <v>650</v>
      </c>
      <c r="L194" t="str">
        <f>VLOOKUP(Belling[[#This Row],[patient_id]],Patient[#All],9,FALSE)</f>
        <v>WellnessCorp</v>
      </c>
      <c r="M194" t="str">
        <f t="shared" ref="M194:M201" si="9">IF(OR(K194="Failed", K194="Pending"), "Check Required", "Clear")</f>
        <v>Check Required</v>
      </c>
      <c r="N194" t="str">
        <f>VLOOKUP(E:E,Doctor[#All],4,0)</f>
        <v>Dermatology</v>
      </c>
      <c r="O194">
        <f t="shared" ref="O194:O201" si="10" xml:space="preserve"> H194 - G194</f>
        <v>0</v>
      </c>
      <c r="P194" s="15">
        <f>VLOOKUP(Belling[[#This Row],[patient_id]],Patient[#All],12,FALSE)</f>
        <v>2023</v>
      </c>
    </row>
    <row r="195" spans="1:16" x14ac:dyDescent="0.25">
      <c r="A195" t="s">
        <v>842</v>
      </c>
      <c r="B195" t="s">
        <v>466</v>
      </c>
      <c r="C195" t="s">
        <v>400</v>
      </c>
      <c r="D195" t="str">
        <f>VLOOKUP(C:C,Treatment[#All],2,0)</f>
        <v>A194</v>
      </c>
      <c r="E195" t="str">
        <f>VLOOKUP(D:D,Appointment[#All],3,0)</f>
        <v>D002</v>
      </c>
      <c r="F195" t="str">
        <f>VLOOKUP(Belling[[#This Row],[Docter_id]],Doctor[#All],2,FALSE)</f>
        <v>Jane</v>
      </c>
      <c r="G195" s="1">
        <f>VLOOKUP(Belling[[#This Row],[Appointment ID]],Appointment[#All],5,FALSE)</f>
        <v>45022</v>
      </c>
      <c r="H195" s="1">
        <v>45081</v>
      </c>
      <c r="I195">
        <v>1903.17</v>
      </c>
      <c r="J195" t="s">
        <v>655</v>
      </c>
      <c r="K195" t="s">
        <v>645</v>
      </c>
      <c r="L195" t="str">
        <f>VLOOKUP(Belling[[#This Row],[patient_id]],Patient[#All],9,FALSE)</f>
        <v>WellnessCorp</v>
      </c>
      <c r="M195" t="str">
        <f t="shared" si="9"/>
        <v>Check Required</v>
      </c>
      <c r="N195" t="str">
        <f>VLOOKUP(E:E,Doctor[#All],4,0)</f>
        <v>Pediatrics</v>
      </c>
      <c r="O195">
        <f t="shared" si="10"/>
        <v>59</v>
      </c>
      <c r="P195" s="15">
        <f>VLOOKUP(Belling[[#This Row],[patient_id]],Patient[#All],12,FALSE)</f>
        <v>2021</v>
      </c>
    </row>
    <row r="196" spans="1:16" x14ac:dyDescent="0.25">
      <c r="A196" t="s">
        <v>843</v>
      </c>
      <c r="B196" t="s">
        <v>586</v>
      </c>
      <c r="C196" t="s">
        <v>402</v>
      </c>
      <c r="D196" t="str">
        <f>VLOOKUP(C:C,Treatment[#All],2,0)</f>
        <v>A195</v>
      </c>
      <c r="E196" t="str">
        <f>VLOOKUP(D:D,Appointment[#All],3,0)</f>
        <v>D010</v>
      </c>
      <c r="F196" t="str">
        <f>VLOOKUP(Belling[[#This Row],[Docter_id]],Doctor[#All],2,FALSE)</f>
        <v>Linda</v>
      </c>
      <c r="G196" s="1">
        <f>VLOOKUP(Belling[[#This Row],[Appointment ID]],Appointment[#All],5,FALSE)</f>
        <v>45157</v>
      </c>
      <c r="H196" s="1">
        <v>45157</v>
      </c>
      <c r="I196">
        <v>2777.64</v>
      </c>
      <c r="J196" t="s">
        <v>652</v>
      </c>
      <c r="K196" t="s">
        <v>650</v>
      </c>
      <c r="L196" t="str">
        <f>VLOOKUP(Belling[[#This Row],[patient_id]],Patient[#All],9,FALSE)</f>
        <v>PulseSecure</v>
      </c>
      <c r="M196" t="str">
        <f t="shared" si="9"/>
        <v>Check Required</v>
      </c>
      <c r="N196" t="str">
        <f>VLOOKUP(E:E,Doctor[#All],4,0)</f>
        <v>Oncology</v>
      </c>
      <c r="O196">
        <f t="shared" si="10"/>
        <v>0</v>
      </c>
      <c r="P196" s="15">
        <f>VLOOKUP(Belling[[#This Row],[patient_id]],Patient[#All],12,FALSE)</f>
        <v>2023</v>
      </c>
    </row>
    <row r="197" spans="1:16" x14ac:dyDescent="0.25">
      <c r="A197" t="s">
        <v>844</v>
      </c>
      <c r="B197" t="s">
        <v>579</v>
      </c>
      <c r="C197" t="s">
        <v>404</v>
      </c>
      <c r="D197" t="str">
        <f>VLOOKUP(C:C,Treatment[#All],2,0)</f>
        <v>A196</v>
      </c>
      <c r="E197" t="str">
        <f>VLOOKUP(D:D,Appointment[#All],3,0)</f>
        <v>D006</v>
      </c>
      <c r="F197" t="str">
        <f>VLOOKUP(Belling[[#This Row],[Docter_id]],Doctor[#All],2,FALSE)</f>
        <v>Alex</v>
      </c>
      <c r="G197" s="1">
        <f>VLOOKUP(Belling[[#This Row],[Appointment ID]],Appointment[#All],5,FALSE)</f>
        <v>45225</v>
      </c>
      <c r="H197" s="1">
        <v>45225</v>
      </c>
      <c r="I197">
        <v>2477.8000000000002</v>
      </c>
      <c r="J197" t="s">
        <v>655</v>
      </c>
      <c r="K197" t="s">
        <v>645</v>
      </c>
      <c r="L197" t="str">
        <f>VLOOKUP(Belling[[#This Row],[patient_id]],Patient[#All],9,FALSE)</f>
        <v>MedCare Plus</v>
      </c>
      <c r="M197" t="str">
        <f t="shared" si="9"/>
        <v>Check Required</v>
      </c>
      <c r="N197" t="str">
        <f>VLOOKUP(E:E,Doctor[#All],4,0)</f>
        <v>Pediatrics</v>
      </c>
      <c r="O197">
        <f t="shared" si="10"/>
        <v>0</v>
      </c>
      <c r="P197" s="15">
        <f>VLOOKUP(Belling[[#This Row],[patient_id]],Patient[#All],12,FALSE)</f>
        <v>2021</v>
      </c>
    </row>
    <row r="198" spans="1:16" x14ac:dyDescent="0.25">
      <c r="A198" t="s">
        <v>845</v>
      </c>
      <c r="B198" t="s">
        <v>425</v>
      </c>
      <c r="C198" t="s">
        <v>406</v>
      </c>
      <c r="D198" t="str">
        <f>VLOOKUP(C:C,Treatment[#All],2,0)</f>
        <v>A197</v>
      </c>
      <c r="E198" t="str">
        <f>VLOOKUP(D:D,Appointment[#All],3,0)</f>
        <v>D005</v>
      </c>
      <c r="F198" t="str">
        <f>VLOOKUP(Belling[[#This Row],[Docter_id]],Doctor[#All],2,FALSE)</f>
        <v>Sarah</v>
      </c>
      <c r="G198" s="1">
        <f>VLOOKUP(Belling[[#This Row],[Appointment ID]],Appointment[#All],5,FALSE)</f>
        <v>45017</v>
      </c>
      <c r="H198" s="1">
        <v>44930</v>
      </c>
      <c r="I198">
        <v>975.49</v>
      </c>
      <c r="J198" t="s">
        <v>655</v>
      </c>
      <c r="K198" t="s">
        <v>645</v>
      </c>
      <c r="L198" t="str">
        <f>VLOOKUP(Belling[[#This Row],[patient_id]],Patient[#All],9,FALSE)</f>
        <v>WellnessCorp</v>
      </c>
      <c r="M198" t="str">
        <f t="shared" si="9"/>
        <v>Check Required</v>
      </c>
      <c r="N198" t="str">
        <f>VLOOKUP(E:E,Doctor[#All],4,0)</f>
        <v>Dermatology</v>
      </c>
      <c r="O198">
        <f t="shared" si="10"/>
        <v>-87</v>
      </c>
      <c r="P198" s="15">
        <f>VLOOKUP(Belling[[#This Row],[patient_id]],Patient[#All],12,FALSE)</f>
        <v>2022</v>
      </c>
    </row>
    <row r="199" spans="1:16" x14ac:dyDescent="0.25">
      <c r="A199" t="s">
        <v>846</v>
      </c>
      <c r="B199" t="s">
        <v>513</v>
      </c>
      <c r="C199" t="s">
        <v>408</v>
      </c>
      <c r="D199" t="str">
        <f>VLOOKUP(C:C,Treatment[#All],2,0)</f>
        <v>A198</v>
      </c>
      <c r="E199" t="str">
        <f>VLOOKUP(D:D,Appointment[#All],3,0)</f>
        <v>D006</v>
      </c>
      <c r="F199" t="str">
        <f>VLOOKUP(Belling[[#This Row],[Docter_id]],Doctor[#All],2,FALSE)</f>
        <v>Alex</v>
      </c>
      <c r="G199" s="1">
        <f>VLOOKUP(Belling[[#This Row],[Appointment ID]],Appointment[#All],5,FALSE)</f>
        <v>45061</v>
      </c>
      <c r="H199" s="1">
        <v>45061</v>
      </c>
      <c r="I199">
        <v>3383.72</v>
      </c>
      <c r="J199" t="s">
        <v>655</v>
      </c>
      <c r="K199" t="s">
        <v>650</v>
      </c>
      <c r="L199" t="str">
        <f>VLOOKUP(Belling[[#This Row],[patient_id]],Patient[#All],9,FALSE)</f>
        <v>MedCare Plus</v>
      </c>
      <c r="M199" t="str">
        <f t="shared" si="9"/>
        <v>Check Required</v>
      </c>
      <c r="N199" t="str">
        <f>VLOOKUP(E:E,Doctor[#All],4,0)</f>
        <v>Pediatrics</v>
      </c>
      <c r="O199">
        <f t="shared" si="10"/>
        <v>0</v>
      </c>
      <c r="P199" s="15">
        <f>VLOOKUP(Belling[[#This Row],[patient_id]],Patient[#All],12,FALSE)</f>
        <v>2021</v>
      </c>
    </row>
    <row r="200" spans="1:16" x14ac:dyDescent="0.25">
      <c r="A200" t="s">
        <v>847</v>
      </c>
      <c r="B200" t="s">
        <v>495</v>
      </c>
      <c r="C200" t="s">
        <v>410</v>
      </c>
      <c r="D200" t="str">
        <f>VLOOKUP(C:C,Treatment[#All],2,0)</f>
        <v>A199</v>
      </c>
      <c r="E200" t="str">
        <f>VLOOKUP(D:D,Appointment[#All],3,0)</f>
        <v>D001</v>
      </c>
      <c r="F200" t="str">
        <f>VLOOKUP(Belling[[#This Row],[Docter_id]],Doctor[#All],2,FALSE)</f>
        <v>David</v>
      </c>
      <c r="G200" s="1">
        <f>VLOOKUP(Belling[[#This Row],[Appointment ID]],Appointment[#All],5,FALSE)</f>
        <v>45047</v>
      </c>
      <c r="H200" s="1">
        <v>44931</v>
      </c>
      <c r="I200">
        <v>1472.17</v>
      </c>
      <c r="J200" t="s">
        <v>652</v>
      </c>
      <c r="K200" t="s">
        <v>647</v>
      </c>
      <c r="L200" t="str">
        <f>VLOOKUP(Belling[[#This Row],[patient_id]],Patient[#All],9,FALSE)</f>
        <v>WellnessCorp</v>
      </c>
      <c r="M200" t="str">
        <f t="shared" si="9"/>
        <v>Clear</v>
      </c>
      <c r="N200" t="str">
        <f>VLOOKUP(E:E,Doctor[#All],4,0)</f>
        <v>Dermatology</v>
      </c>
      <c r="O200">
        <f t="shared" si="10"/>
        <v>-116</v>
      </c>
      <c r="P200" s="15">
        <f>VLOOKUP(Belling[[#This Row],[patient_id]],Patient[#All],12,FALSE)</f>
        <v>2022</v>
      </c>
    </row>
    <row r="201" spans="1:16" x14ac:dyDescent="0.25">
      <c r="A201" t="s">
        <v>848</v>
      </c>
      <c r="B201" t="s">
        <v>462</v>
      </c>
      <c r="C201" t="s">
        <v>412</v>
      </c>
      <c r="D201" t="str">
        <f>VLOOKUP(C:C,Treatment[#All],2,0)</f>
        <v>A200</v>
      </c>
      <c r="E201" t="str">
        <f>VLOOKUP(D:D,Appointment[#All],3,0)</f>
        <v>D005</v>
      </c>
      <c r="F201" t="str">
        <f>VLOOKUP(Belling[[#This Row],[Docter_id]],Doctor[#All],2,FALSE)</f>
        <v>Sarah</v>
      </c>
      <c r="G201" s="1">
        <f>VLOOKUP(Belling[[#This Row],[Appointment ID]],Appointment[#All],5,FALSE)</f>
        <v>45290</v>
      </c>
      <c r="H201" s="1">
        <v>45290</v>
      </c>
      <c r="I201">
        <v>3288.15</v>
      </c>
      <c r="J201" t="s">
        <v>644</v>
      </c>
      <c r="K201" t="s">
        <v>647</v>
      </c>
      <c r="L201" t="str">
        <f>VLOOKUP(Belling[[#This Row],[patient_id]],Patient[#All],9,FALSE)</f>
        <v>MedCare Plus</v>
      </c>
      <c r="M201" t="str">
        <f t="shared" si="9"/>
        <v>Clear</v>
      </c>
      <c r="N201" t="str">
        <f>VLOOKUP(E:E,Doctor[#All],4,0)</f>
        <v>Dermatology</v>
      </c>
      <c r="O201">
        <f t="shared" si="10"/>
        <v>0</v>
      </c>
      <c r="P201" s="15">
        <f>VLOOKUP(Belling[[#This Row],[patient_id]],Patient[#All],12,FALSE)</f>
        <v>2021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U67"/>
  <sheetViews>
    <sheetView topLeftCell="A29" zoomScale="85" zoomScaleNormal="85" workbookViewId="0">
      <selection activeCell="E18" sqref="E18"/>
    </sheetView>
  </sheetViews>
  <sheetFormatPr defaultRowHeight="15" x14ac:dyDescent="0.25"/>
  <cols>
    <col min="1" max="1" width="13.140625" customWidth="1"/>
    <col min="2" max="2" width="14.85546875" customWidth="1"/>
    <col min="3" max="3" width="15.28515625" bestFit="1" customWidth="1"/>
    <col min="4" max="4" width="14.5703125" bestFit="1" customWidth="1"/>
    <col min="5" max="5" width="15.28515625" bestFit="1" customWidth="1"/>
    <col min="6" max="6" width="14.5703125" bestFit="1" customWidth="1"/>
    <col min="7" max="7" width="13.140625" bestFit="1" customWidth="1"/>
    <col min="8" max="8" width="14.5703125" bestFit="1" customWidth="1"/>
    <col min="10" max="10" width="13.28515625" bestFit="1" customWidth="1"/>
    <col min="11" max="11" width="23.7109375" bestFit="1" customWidth="1"/>
    <col min="12" max="12" width="14.5703125" bestFit="1" customWidth="1"/>
  </cols>
  <sheetData>
    <row r="2" spans="1:13" x14ac:dyDescent="0.25">
      <c r="A2">
        <v>1</v>
      </c>
      <c r="B2" s="4" t="s">
        <v>863</v>
      </c>
      <c r="C2">
        <f xml:space="preserve"> 46</f>
        <v>46</v>
      </c>
    </row>
    <row r="3" spans="1:13" x14ac:dyDescent="0.25">
      <c r="A3">
        <v>2</v>
      </c>
      <c r="B3" s="4" t="s">
        <v>864</v>
      </c>
      <c r="C3" s="7">
        <f>SUMIF(Belling[payment_method],"Insurance",Belling[amount])</f>
        <v>182160.27999999997</v>
      </c>
    </row>
    <row r="4" spans="1:13" x14ac:dyDescent="0.25">
      <c r="A4">
        <v>3</v>
      </c>
      <c r="B4" s="4" t="s">
        <v>865</v>
      </c>
      <c r="C4" t="s">
        <v>610</v>
      </c>
      <c r="D4">
        <v>25.75</v>
      </c>
    </row>
    <row r="5" spans="1:13" x14ac:dyDescent="0.25">
      <c r="C5" t="s">
        <v>601</v>
      </c>
      <c r="D5">
        <v>16</v>
      </c>
    </row>
    <row r="6" spans="1:13" x14ac:dyDescent="0.25">
      <c r="C6" t="s">
        <v>605</v>
      </c>
      <c r="D6">
        <v>21.33</v>
      </c>
    </row>
    <row r="7" spans="1:13" x14ac:dyDescent="0.25">
      <c r="A7" t="s">
        <v>866</v>
      </c>
    </row>
    <row r="8" spans="1:13" x14ac:dyDescent="0.25">
      <c r="A8">
        <v>5</v>
      </c>
      <c r="B8" s="4" t="s">
        <v>868</v>
      </c>
      <c r="C8">
        <v>25</v>
      </c>
      <c r="F8">
        <v>6</v>
      </c>
      <c r="G8" s="12" t="s">
        <v>870</v>
      </c>
      <c r="H8" s="12"/>
      <c r="I8" s="12"/>
      <c r="J8" s="12"/>
      <c r="K8" s="12"/>
      <c r="L8" s="12"/>
      <c r="M8" s="12"/>
    </row>
    <row r="10" spans="1:13" x14ac:dyDescent="0.25">
      <c r="A10">
        <v>7</v>
      </c>
      <c r="B10" s="4" t="s">
        <v>875</v>
      </c>
      <c r="C10" s="3">
        <v>117671.81</v>
      </c>
      <c r="D10">
        <v>551249.85</v>
      </c>
      <c r="E10" s="8">
        <f>C10/ D10</f>
        <v>0.21346365899237887</v>
      </c>
      <c r="F10" s="6"/>
      <c r="J10" s="2" t="s">
        <v>861</v>
      </c>
      <c r="K10" t="s">
        <v>874</v>
      </c>
    </row>
    <row r="11" spans="1:13" x14ac:dyDescent="0.25">
      <c r="J11" s="3" t="s">
        <v>600</v>
      </c>
      <c r="K11" s="15">
        <v>202709.28999999998</v>
      </c>
    </row>
    <row r="12" spans="1:13" x14ac:dyDescent="0.25">
      <c r="A12">
        <v>10</v>
      </c>
      <c r="B12" s="9" t="s">
        <v>886</v>
      </c>
      <c r="C12" s="3"/>
      <c r="J12" s="3" t="s">
        <v>617</v>
      </c>
      <c r="K12" s="15">
        <v>89602.730000000025</v>
      </c>
    </row>
    <row r="13" spans="1:13" x14ac:dyDescent="0.25">
      <c r="B13" s="11" t="s">
        <v>887</v>
      </c>
      <c r="C13" s="3">
        <f>_xlfn.MAXIFS(Belling[amount], Belling[payment_method], "Cash")</f>
        <v>4973.63</v>
      </c>
      <c r="J13" s="3" t="s">
        <v>604</v>
      </c>
      <c r="K13" s="15">
        <v>258937.83000000002</v>
      </c>
    </row>
    <row r="14" spans="1:13" x14ac:dyDescent="0.25">
      <c r="C14" s="3"/>
      <c r="J14" s="3" t="s">
        <v>862</v>
      </c>
      <c r="K14" s="15">
        <v>551249.85000000009</v>
      </c>
    </row>
    <row r="15" spans="1:13" x14ac:dyDescent="0.25">
      <c r="C15" s="3"/>
    </row>
    <row r="16" spans="1:13" x14ac:dyDescent="0.25">
      <c r="C16" s="3"/>
      <c r="H16">
        <v>8</v>
      </c>
      <c r="I16" s="4" t="s">
        <v>876</v>
      </c>
    </row>
    <row r="17" spans="3:21" x14ac:dyDescent="0.25">
      <c r="C17" s="3"/>
      <c r="J17" s="3" t="s">
        <v>877</v>
      </c>
      <c r="K17" t="s">
        <v>878</v>
      </c>
      <c r="L17" t="s">
        <v>879</v>
      </c>
      <c r="M17" t="s">
        <v>880</v>
      </c>
    </row>
    <row r="18" spans="3:21" x14ac:dyDescent="0.25">
      <c r="C18" s="3"/>
      <c r="J18" s="3" t="s">
        <v>486</v>
      </c>
      <c r="K18">
        <v>3</v>
      </c>
      <c r="L18" s="5">
        <v>4412.0633333333335</v>
      </c>
      <c r="M18" t="str">
        <f>VLOOKUP(J18,Patient[#All],2,FALSE)</f>
        <v>Alex</v>
      </c>
    </row>
    <row r="19" spans="3:21" x14ac:dyDescent="0.25">
      <c r="C19" s="3"/>
      <c r="J19" s="3"/>
    </row>
    <row r="20" spans="3:21" x14ac:dyDescent="0.25">
      <c r="C20" s="3"/>
      <c r="H20">
        <v>9</v>
      </c>
      <c r="I20" s="13" t="s">
        <v>881</v>
      </c>
      <c r="J20" s="13"/>
      <c r="K20" s="13"/>
      <c r="L20" s="13"/>
      <c r="M20" s="13"/>
      <c r="N20" s="13"/>
      <c r="O20" s="13"/>
      <c r="P20" s="13"/>
      <c r="Q20" s="13"/>
      <c r="R20" s="13"/>
    </row>
    <row r="21" spans="3:21" x14ac:dyDescent="0.25">
      <c r="C21" s="3"/>
      <c r="J21" s="3"/>
    </row>
    <row r="22" spans="3:21" x14ac:dyDescent="0.25">
      <c r="C22" s="3"/>
      <c r="J22" s="2" t="s">
        <v>861</v>
      </c>
      <c r="K22" t="s">
        <v>885</v>
      </c>
    </row>
    <row r="23" spans="3:21" x14ac:dyDescent="0.25">
      <c r="C23" s="3"/>
      <c r="J23" s="3" t="s">
        <v>463</v>
      </c>
      <c r="K23" s="10">
        <v>19.75</v>
      </c>
    </row>
    <row r="24" spans="3:21" x14ac:dyDescent="0.25">
      <c r="C24" s="3"/>
      <c r="J24" s="3" t="s">
        <v>426</v>
      </c>
      <c r="K24" s="10">
        <v>2.8974358974358974</v>
      </c>
    </row>
    <row r="25" spans="3:21" x14ac:dyDescent="0.25">
      <c r="C25" s="3"/>
      <c r="J25" s="3" t="s">
        <v>496</v>
      </c>
      <c r="K25" s="10">
        <v>16.488372093023255</v>
      </c>
    </row>
    <row r="26" spans="3:21" x14ac:dyDescent="0.25">
      <c r="C26" s="3"/>
      <c r="J26" s="3" t="s">
        <v>459</v>
      </c>
      <c r="K26" s="10">
        <v>36.25714285714286</v>
      </c>
    </row>
    <row r="27" spans="3:21" x14ac:dyDescent="0.25">
      <c r="C27" s="3"/>
      <c r="J27" s="3" t="s">
        <v>525</v>
      </c>
      <c r="K27" s="10">
        <v>27.384615384615383</v>
      </c>
    </row>
    <row r="28" spans="3:21" x14ac:dyDescent="0.25">
      <c r="C28" s="3"/>
      <c r="J28" s="3" t="s">
        <v>490</v>
      </c>
      <c r="K28" s="10">
        <v>11.021739130434783</v>
      </c>
    </row>
    <row r="29" spans="3:21" x14ac:dyDescent="0.25">
      <c r="C29" s="3"/>
      <c r="J29" s="3" t="s">
        <v>862</v>
      </c>
      <c r="K29" s="15">
        <v>17.14</v>
      </c>
    </row>
    <row r="30" spans="3:21" x14ac:dyDescent="0.25">
      <c r="C30" s="3"/>
    </row>
    <row r="31" spans="3:21" x14ac:dyDescent="0.25">
      <c r="C31" s="3"/>
      <c r="H31">
        <v>11</v>
      </c>
      <c r="I31" s="17" t="s">
        <v>890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3:21" x14ac:dyDescent="0.25">
      <c r="C32" s="3"/>
      <c r="K32" s="16" t="s">
        <v>891</v>
      </c>
    </row>
    <row r="33" spans="3:16" x14ac:dyDescent="0.25">
      <c r="C33" s="3"/>
    </row>
    <row r="34" spans="3:16" x14ac:dyDescent="0.25">
      <c r="C34" s="3"/>
      <c r="K34" s="2" t="s">
        <v>861</v>
      </c>
      <c r="L34" t="s">
        <v>874</v>
      </c>
    </row>
    <row r="35" spans="3:16" x14ac:dyDescent="0.25">
      <c r="C35" s="3"/>
      <c r="K35" s="3">
        <v>2023</v>
      </c>
      <c r="L35" s="15">
        <v>174163.78999999998</v>
      </c>
      <c r="M35" t="s">
        <v>893</v>
      </c>
      <c r="N35">
        <f>L35</f>
        <v>174163.78999999998</v>
      </c>
    </row>
    <row r="36" spans="3:16" x14ac:dyDescent="0.25">
      <c r="C36" s="3"/>
      <c r="K36" s="3">
        <v>2021</v>
      </c>
      <c r="L36" s="15">
        <v>222998.16</v>
      </c>
      <c r="M36" s="18" t="s">
        <v>892</v>
      </c>
      <c r="N36" s="18"/>
      <c r="O36">
        <f>SUM(L36,L37)</f>
        <v>377086.06</v>
      </c>
    </row>
    <row r="37" spans="3:16" x14ac:dyDescent="0.25">
      <c r="C37" s="3"/>
      <c r="K37" s="3">
        <v>2022</v>
      </c>
      <c r="L37" s="15">
        <v>154087.9</v>
      </c>
    </row>
    <row r="38" spans="3:16" x14ac:dyDescent="0.25">
      <c r="C38" s="3"/>
      <c r="K38" s="3" t="s">
        <v>862</v>
      </c>
      <c r="L38" s="15">
        <v>551249.85</v>
      </c>
    </row>
    <row r="39" spans="3:16" x14ac:dyDescent="0.25">
      <c r="C39" s="3"/>
    </row>
    <row r="40" spans="3:16" x14ac:dyDescent="0.25">
      <c r="C40" s="3"/>
      <c r="J40" s="3"/>
    </row>
    <row r="41" spans="3:16" x14ac:dyDescent="0.25">
      <c r="C41" s="3"/>
      <c r="H41">
        <v>12</v>
      </c>
      <c r="I41" s="19" t="s">
        <v>894</v>
      </c>
      <c r="J41" s="19"/>
      <c r="K41" s="19"/>
      <c r="L41" s="19"/>
      <c r="M41" s="19"/>
      <c r="N41" s="19"/>
      <c r="O41" s="19"/>
      <c r="P41" s="19"/>
    </row>
    <row r="42" spans="3:16" hidden="1" x14ac:dyDescent="0.25">
      <c r="C42" s="3"/>
      <c r="J42" s="3"/>
    </row>
    <row r="43" spans="3:16" hidden="1" x14ac:dyDescent="0.25">
      <c r="C43" s="3"/>
      <c r="J43" s="3"/>
    </row>
    <row r="44" spans="3:16" hidden="1" x14ac:dyDescent="0.25">
      <c r="C44" s="3"/>
      <c r="J44" s="3"/>
    </row>
    <row r="45" spans="3:16" hidden="1" x14ac:dyDescent="0.25">
      <c r="C45" s="3"/>
      <c r="J45" s="3"/>
    </row>
    <row r="46" spans="3:16" hidden="1" x14ac:dyDescent="0.25">
      <c r="C46" s="3"/>
      <c r="J46" s="3"/>
    </row>
    <row r="47" spans="3:16" hidden="1" x14ac:dyDescent="0.25">
      <c r="C47" s="3"/>
      <c r="J47" s="3"/>
    </row>
    <row r="48" spans="3:16" hidden="1" x14ac:dyDescent="0.25">
      <c r="C48" s="3"/>
      <c r="J48" s="3"/>
    </row>
    <row r="49" spans="3:11" hidden="1" x14ac:dyDescent="0.25">
      <c r="C49" s="3"/>
      <c r="J49" s="3"/>
    </row>
    <row r="50" spans="3:11" hidden="1" x14ac:dyDescent="0.25">
      <c r="C50" s="3"/>
      <c r="J50" s="3"/>
    </row>
    <row r="51" spans="3:11" hidden="1" x14ac:dyDescent="0.25">
      <c r="C51" s="3"/>
      <c r="J51" s="3"/>
    </row>
    <row r="52" spans="3:11" hidden="1" x14ac:dyDescent="0.25">
      <c r="C52" s="3"/>
      <c r="J52" s="3"/>
    </row>
    <row r="53" spans="3:11" hidden="1" x14ac:dyDescent="0.25">
      <c r="C53" s="3"/>
      <c r="J53" s="3"/>
    </row>
    <row r="54" spans="3:11" hidden="1" x14ac:dyDescent="0.25">
      <c r="C54" s="3"/>
      <c r="J54" s="3"/>
    </row>
    <row r="55" spans="3:11" hidden="1" x14ac:dyDescent="0.25">
      <c r="C55" s="3"/>
      <c r="J55" s="3"/>
    </row>
    <row r="56" spans="3:11" x14ac:dyDescent="0.25">
      <c r="C56" s="3"/>
      <c r="J56" s="2" t="s">
        <v>861</v>
      </c>
      <c r="K56" t="s">
        <v>896</v>
      </c>
    </row>
    <row r="57" spans="3:11" x14ac:dyDescent="0.25">
      <c r="C57" s="3"/>
      <c r="J57" s="3">
        <v>15</v>
      </c>
      <c r="K57" s="15">
        <v>28</v>
      </c>
    </row>
    <row r="58" spans="3:11" x14ac:dyDescent="0.25">
      <c r="C58" s="3"/>
      <c r="J58" s="3">
        <v>17</v>
      </c>
      <c r="K58" s="15">
        <v>21</v>
      </c>
    </row>
    <row r="59" spans="3:11" x14ac:dyDescent="0.25">
      <c r="C59" s="3"/>
      <c r="J59" s="3">
        <v>8</v>
      </c>
      <c r="K59" s="15">
        <v>21</v>
      </c>
    </row>
    <row r="60" spans="3:11" x14ac:dyDescent="0.25">
      <c r="J60" s="3">
        <v>12</v>
      </c>
      <c r="K60" s="15">
        <v>21</v>
      </c>
    </row>
    <row r="61" spans="3:11" x14ac:dyDescent="0.25">
      <c r="J61" s="3">
        <v>13</v>
      </c>
      <c r="K61" s="15">
        <v>20</v>
      </c>
    </row>
    <row r="62" spans="3:11" x14ac:dyDescent="0.25">
      <c r="J62" s="3">
        <v>14</v>
      </c>
      <c r="K62" s="15">
        <v>20</v>
      </c>
    </row>
    <row r="63" spans="3:11" x14ac:dyDescent="0.25">
      <c r="J63" s="3">
        <v>10</v>
      </c>
      <c r="K63" s="15">
        <v>19</v>
      </c>
    </row>
    <row r="64" spans="3:11" x14ac:dyDescent="0.25">
      <c r="J64" s="3">
        <v>11</v>
      </c>
      <c r="K64" s="15">
        <v>18</v>
      </c>
    </row>
    <row r="65" spans="10:11" x14ac:dyDescent="0.25">
      <c r="J65" s="3">
        <v>9</v>
      </c>
      <c r="K65" s="15">
        <v>17</v>
      </c>
    </row>
    <row r="66" spans="10:11" x14ac:dyDescent="0.25">
      <c r="J66" s="3">
        <v>16</v>
      </c>
      <c r="K66" s="15">
        <v>15</v>
      </c>
    </row>
    <row r="67" spans="10:11" x14ac:dyDescent="0.25">
      <c r="J67" s="3" t="s">
        <v>862</v>
      </c>
      <c r="K67" s="15">
        <v>200</v>
      </c>
    </row>
  </sheetData>
  <mergeCells count="5">
    <mergeCell ref="M36:N36"/>
    <mergeCell ref="I41:P41"/>
    <mergeCell ref="G8:M8"/>
    <mergeCell ref="I20:R20"/>
    <mergeCell ref="I31:U31"/>
  </mergeCell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33:W153"/>
  <sheetViews>
    <sheetView tabSelected="1" topLeftCell="D59" zoomScale="85" zoomScaleNormal="85" workbookViewId="0">
      <selection activeCell="X133" sqref="A133:XFD153"/>
    </sheetView>
  </sheetViews>
  <sheetFormatPr defaultColWidth="0" defaultRowHeight="15" x14ac:dyDescent="0.25"/>
  <cols>
    <col min="1" max="23" width="9.140625" style="14" customWidth="1"/>
    <col min="24" max="16384" width="9.140625" hidden="1"/>
  </cols>
  <sheetData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</sheetData>
  <mergeCells count="1">
    <mergeCell ref="A1:W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Doctor</vt:lpstr>
      <vt:lpstr>Patient</vt:lpstr>
      <vt:lpstr>Appointment</vt:lpstr>
      <vt:lpstr>Treatment</vt:lpstr>
      <vt:lpstr>Belling</vt:lpstr>
      <vt:lpstr>Analysis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Ritesh Singh</cp:lastModifiedBy>
  <dcterms:created xsi:type="dcterms:W3CDTF">2025-11-23T09:47:19Z</dcterms:created>
  <dcterms:modified xsi:type="dcterms:W3CDTF">2025-11-27T15:04:43Z</dcterms:modified>
</cp:coreProperties>
</file>